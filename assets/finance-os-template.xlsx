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2ca375473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ashboard" sheetId="1" r:id="R5fe8072ac7414909"/>
    <x:sheet xmlns:r="http://schemas.openxmlformats.org/officeDocument/2006/relationships" name="01 Rules" sheetId="2" r:id="Rd51ee86a01964efd"/>
    <x:sheet xmlns:r="http://schemas.openxmlformats.org/officeDocument/2006/relationships" name="02 Balance Sheet" sheetId="3" r:id="R68a26d1bff484b37"/>
    <x:sheet xmlns:r="http://schemas.openxmlformats.org/officeDocument/2006/relationships" name="03 Monthly History" sheetId="4" r:id="R0962692f66404ea2"/>
    <x:sheet xmlns:r="http://schemas.openxmlformats.org/officeDocument/2006/relationships" name="04 Investment Flow" sheetId="5" r:id="Rc6ae6bcd9cf6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"/>
    <x:numFmt numFmtId="203" formatCode="0.0%"/>
  </x:numFmts>
  <x:fonts count="6">
    <x:font>
      <x:sz val="11"/>
      <x:name val="Carlito"/>
    </x:font>
    <x:font>
      <x:sz val="10"/>
      <x:color rgb="FF1F1F1F"/>
      <x:name val="Arial"/>
    </x:font>
    <x:font>
      <x:b/>
      <x:sz val="14"/>
      <x:color rgb="FFFFFFFF"/>
      <x:name val="Arial"/>
    </x:font>
    <x:font>
      <x:i/>
      <x:sz val="10"/>
      <x:color rgb="FF515151"/>
      <x:name val="Arial"/>
    </x:font>
    <x:font>
      <x:b/>
      <x:sz val="10"/>
      <x:color rgb="FFFFFFFF"/>
      <x:name val="Arial"/>
    </x:font>
    <x:font>
      <x:sz val="10"/>
      <x:color rgb="FF0C33B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4F77"/>
      </x:patternFill>
    </x:fill>
    <x:fill>
      <x:patternFill patternType="solid">
        <x:fgColor rgb="FFF2F7F9"/>
      </x:patternFill>
    </x:fill>
    <x:fill>
      <x:patternFill patternType="solid">
        <x:fgColor rgb="FF3186B8"/>
      </x:patternFill>
    </x:fill>
    <x:fill>
      <x:patternFill patternType="solid">
        <x:fgColor rgb="FFE0F2E2"/>
      </x:patternFill>
    </x:fill>
    <x:fill>
      <x:patternFill patternType="solid">
        <x:fgColor rgb="FFFFF2BF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center" wrapText="1"/>
    </x:xf>
    <x:xf numFmtId="203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15808d9474113" /><Relationship Type="http://schemas.openxmlformats.org/officeDocument/2006/relationships/theme" Target="/xl/theme/theme1.xml" Id="R01029a6643114ede" /><Relationship Type="http://schemas.openxmlformats.org/officeDocument/2006/relationships/sharedStrings" Target="/xl/sharedStrings.xml" Id="R5edce1808eda4f00" /><Relationship Type="http://schemas.openxmlformats.org/officeDocument/2006/relationships/worksheet" Target="/xl/worksheets/sheet1.xml" Id="R5fe8072ac7414909" /><Relationship Type="http://schemas.openxmlformats.org/officeDocument/2006/relationships/worksheet" Target="/xl/worksheets/sheet2.xml" Id="Rd51ee86a01964efd" /><Relationship Type="http://schemas.openxmlformats.org/officeDocument/2006/relationships/worksheet" Target="/xl/worksheets/sheet3.xml" Id="R68a26d1bff484b37" /><Relationship Type="http://schemas.openxmlformats.org/officeDocument/2006/relationships/worksheet" Target="/xl/worksheets/sheet4.xml" Id="R0962692f66404ea2" /><Relationship Type="http://schemas.openxmlformats.org/officeDocument/2006/relationships/worksheet" Target="/xl/worksheets/sheet5.xml" Id="Rc6ae6bcd9cf6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.440000534057617" hidden="0" customWidth="1"/>
    <x:col min="2" max="2" width="14.4399995803833" hidden="0" customWidth="1"/>
    <x:col min="3" max="3" width="8.329999923706055" hidden="0" customWidth="1"/>
    <x:col min="4" max="4" width="23.329999923706055" hidden="0" customWidth="1"/>
    <x:col min="5" max="5" width="21.110000610351562" hidden="0" customWidth="1"/>
  </x:cols>
  <x:sheetData>
    <x:row r="1" ht="21" customHeight="1">
      <x:c r="A1" s="4" t="str">
        <x:v>PERSONAL FINANCE OS — DASHBOARD</x:v>
      </x:c>
      <x:c r="B1" s="4"/>
      <x:c r="C1" s="4"/>
      <x:c r="D1" s="4"/>
      <x:c r="E1" s="4"/>
      <x:c r="F1" s="2"/>
      <x:c r="G1" s="2"/>
      <x:c r="H1" s="2"/>
      <x:c r="I1" s="2"/>
      <x:c r="J1" s="2"/>
      <x:c r="K1" s="2"/>
      <x:c r="L1" s="2"/>
      <x:c r="M1" s="2"/>
      <x:c r="N1" s="2"/>
    </x:row>
    <x:row r="2" ht="22.5" customHeight="1">
      <x:c r="A2" s="7" t="str">
        <x:v>Native-currency view: current assets, liquidity resilience, and monthly saving progress.</x:v>
      </x:c>
      <x:c r="B2" s="7"/>
      <x:c r="C2" s="7"/>
      <x:c r="D2" s="7"/>
      <x:c r="E2" s="7"/>
      <x:c r="F2" s="2"/>
      <x:c r="G2" s="2"/>
      <x:c r="H2" s="2"/>
      <x:c r="I2" s="2"/>
      <x:c r="J2" s="2"/>
      <x:c r="K2" s="2"/>
      <x:c r="L2" s="2"/>
      <x:c r="M2" s="2"/>
      <x:c r="N2" s="2"/>
    </x:row>
    <x:row r="3" ht="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.5" customHeight="1">
      <x:c r="A4" s="11" t="str">
        <x:v>CURRENT POSITION</x:v>
      </x:c>
      <x:c r="B4" s="11" t="str">
        <x:v>VALUE</x:v>
      </x:c>
      <x:c r="C4" s="11" t="str">
        <x:v>UNIT</x:v>
      </x:c>
      <x:c r="D4" s="11" t="str">
        <x:v>MONTHLY CLOSE</x:v>
      </x:c>
      <x:c r="E4" s="11" t="str">
        <x:v>VALUE</x:v>
      </x:c>
      <x:c r="F4" s="2"/>
      <x:c r="G4" s="2"/>
      <x:c r="H4" s="2"/>
      <x:c r="I4" s="2"/>
      <x:c r="J4" s="2"/>
      <x:c r="K4" s="2"/>
      <x:c r="L4" s="2"/>
      <x:c r="M4" s="2"/>
      <x:c r="N4" s="2"/>
    </x:row>
    <x:row r="5" ht="19.5" customHeight="1">
      <x:c r="A5" s="2" t="str">
        <x:v>Snapshot Date</x:v>
      </x:c>
      <x:c r="B5" s="13" t="str">
        <x:f>IF('02 Balance Sheet'!B2="","",'02 Balance Sheet'!B2)</x:f>
      </x:c>
      <x:c r="C5" s="2" t="str"/>
      <x:c r="D5" s="2" t="str">
        <x:v>Latest Closed Month</x:v>
      </x:c>
      <x:c r="E5" s="13" t="str">
        <x:f>IFERROR(LOOKUP(2,1/('03 Monthly History'!J5:J404="Closed"),'03 Monthly History'!A5:A404),"")</x:f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19.5" customHeight="1">
      <x:c r="A6" s="2" t="str">
        <x:v>CNY Assets</x:v>
      </x:c>
      <x:c r="B6" s="14" t="str">
        <x:f>IF(COUNTA('02 Balance Sheet'!A5:A398)=0,"",SUMIF('02 Balance Sheet'!D:D,"CNY",'02 Balance Sheet'!H:H))</x:f>
      </x:c>
      <x:c r="C6" s="2" t="str">
        <x:v>CNY</x:v>
      </x:c>
      <x:c r="D6" s="2" t="str">
        <x:v>Salary CNY</x:v>
      </x:c>
      <x:c r="E6" s="14" t="str">
        <x:f>IFERROR(LOOKUP(2,1/('03 Monthly History'!J5:J404="Closed"),'03 Monthly History'!B5:B404),"")</x:f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19.5" customHeight="1">
      <x:c r="A7" s="2" t="str">
        <x:v>USD Assets</x:v>
      </x:c>
      <x:c r="B7" s="14" t="str">
        <x:f>IF(COUNTA('02 Balance Sheet'!A5:A398)=0,"",SUMIF('02 Balance Sheet'!D:D,"USD",'02 Balance Sheet'!H:H))</x:f>
      </x:c>
      <x:c r="C7" s="2" t="str">
        <x:v>USD</x:v>
      </x:c>
      <x:c r="D7" s="2" t="str">
        <x:v>Living Expense CNY</x:v>
      </x:c>
      <x:c r="E7" s="14" t="str">
        <x:f>IFERROR(LOOKUP(2,1/('03 Monthly History'!J5:J404="Closed"),'03 Monthly History'!D5:D404),"")</x:f>
      </x:c>
      <x:c r="F7" s="2"/>
      <x:c r="G7" s="2"/>
      <x:c r="H7" s="2"/>
      <x:c r="I7" s="2"/>
      <x:c r="J7" s="2"/>
      <x:c r="K7" s="2"/>
      <x:c r="L7" s="2"/>
      <x:c r="M7" s="2"/>
      <x:c r="N7" s="2"/>
    </x:row>
    <x:row r="8" ht="19.5" customHeight="1">
      <x:c r="A8" s="2" t="str">
        <x:v>HKD Assets</x:v>
      </x:c>
      <x:c r="B8" s="14" t="str">
        <x:f>IF(COUNTA('02 Balance Sheet'!A5:A398)=0,"",SUMIF('02 Balance Sheet'!D:D,"HKD",'02 Balance Sheet'!H:H))</x:f>
      </x:c>
      <x:c r="C8" s="2" t="str">
        <x:v>HKD</x:v>
      </x:c>
      <x:c r="D8" s="2" t="str">
        <x:v>Net Saving CNY</x:v>
      </x:c>
      <x:c r="E8" s="14" t="str">
        <x:f>IFERROR(LOOKUP(2,1/('03 Monthly History'!J5:J404="Closed"),'03 Monthly History'!F5:F404),"")</x:f>
      </x:c>
      <x:c r="F8" s="2"/>
      <x:c r="G8" s="2"/>
      <x:c r="H8" s="2"/>
      <x:c r="I8" s="2"/>
      <x:c r="J8" s="2"/>
      <x:c r="K8" s="2"/>
      <x:c r="L8" s="2"/>
      <x:c r="M8" s="2"/>
      <x:c r="N8" s="2"/>
    </x:row>
    <x:row r="9" ht="19.5" customHeight="1">
      <x:c r="A9" s="2" t="str">
        <x:v>Immediate CNY Cash</x:v>
      </x:c>
      <x:c r="B9" s="14" t="str">
        <x:f>IF(COUNTA('02 Balance Sheet'!A5:A398)=0,"",SUMIF('02 Balance Sheet'!C:C,"CASH-CNY",'02 Balance Sheet'!H:H))</x:f>
      </x:c>
      <x:c r="C9" s="2" t="str">
        <x:v>CNY</x:v>
      </x:c>
      <x:c r="D9" s="2" t="str">
        <x:v>Saving Rate</x:v>
      </x:c>
      <x:c r="E9" s="16" t="str">
        <x:f>IFERROR(E8/(E6+LOOKUP(2,1/('03 Monthly History'!J5:J404="Closed"),'03 Monthly History'!C5:C404)),"")</x:f>
      </x:c>
      <x:c r="F9" s="2"/>
      <x:c r="G9" s="2"/>
      <x:c r="H9" s="2"/>
      <x:c r="I9" s="2"/>
      <x:c r="J9" s="2"/>
      <x:c r="K9" s="2"/>
      <x:c r="L9" s="2"/>
      <x:c r="M9" s="2"/>
      <x:c r="N9" s="2"/>
    </x:row>
    <x:row r="10" ht="19.5" customHeight="1">
      <x:c r="A10" s="2" t="str">
        <x:v>CNY Defensive Reserve</x:v>
      </x:c>
      <x:c r="B10" s="14" t="str">
        <x:f>IF(COUNTA('02 Balance Sheet'!A5:A398)=0,"",SUMIF('02 Balance Sheet'!C:C,"CASH-CNY",'02 Balance Sheet'!H:H)+SUMIF('02 Balance Sheet'!C:C,"RESERVE-CNY",'02 Balance Sheet'!H:H))</x:f>
      </x:c>
      <x:c r="C10" s="2" t="str">
        <x:v>CNY</x:v>
      </x:c>
      <x:c r="D10" s="2" t="str">
        <x:v>Current Economic Month</x:v>
      </x:c>
      <x:c r="E10" s="13" t="str">
        <x:f>IFERROR(LOOKUP(2,1/('03 Monthly History'!A5:A404&lt;&gt;""),'03 Monthly History'!A5:A404),"")</x:f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9.5" customHeight="1">
      <x:c r="A11" s="2" t="str">
        <x:v>Reserve / Floor</x:v>
      </x:c>
      <x:c r="B11" s="15" t="str">
        <x:f>IFERROR(B10/'01 Rules'!B5,"")</x:f>
      </x:c>
      <x:c r="C11" s="2" t="str">
        <x:v>x</x:v>
      </x:c>
      <x:c r="D11" s="2" t="str">
        <x:v>Current Close Status</x:v>
      </x:c>
      <x:c r="E11" s="12" t="str">
        <x:f>IFERROR(LOOKUP(2,1/('03 Monthly History'!A5:A404&lt;&gt;""),'03 Monthly History'!J5:J404),"")</x:f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9.5" customHeight="1">
      <x:c r="A12" s="2" t="str">
        <x:v>Immediate Cash Runway</x:v>
      </x:c>
      <x:c r="B12" s="15" t="str">
        <x:f>IFERROR(B9/AVERAGE(INDEX('03 Monthly History'!D:D,MAX(5,COUNTA('03 Monthly History'!A:A)-1)):INDEX('03 Monthly History'!D:D,COUNTA('03 Monthly History'!A:A)+1)),"")</x:f>
      </x:c>
      <x:c r="C12" s="2" t="str">
        <x:v>months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780000686645508" hidden="0" customWidth="1"/>
    <x:col min="2" max="2" width="13.329999923706055" hidden="0" customWidth="1"/>
    <x:col min="3" max="3" width="12.220000267028809" hidden="0" customWidth="1"/>
    <x:col min="4" max="4" width="17.219999313354492" hidden="0" customWidth="1"/>
    <x:col min="5" max="5" width="35" hidden="0" customWidth="1"/>
    <x:col min="6" max="6" width="15.5600004196167" hidden="0" customWidth="1"/>
    <x:col min="7" max="7" width="33.560001373291016" hidden="0" customWidth="1"/>
    <x:col min="8" max="8" width="12.220000267028809" hidden="0" customWidth="1"/>
    <x:col min="9" max="9" width="16.670000076293945" hidden="0" customWidth="1"/>
  </x:cols>
  <x:sheetData>
    <x:row r="1" ht="21" customHeight="1">
      <x:c r="A1" s="4" t="str">
        <x:v>PERSONAL FINANCE OS — RULES</x:v>
      </x:c>
      <x:c r="B1" s="4"/>
      <x:c r="C1" s="4"/>
      <x:c r="D1" s="4"/>
      <x:c r="E1" s="4"/>
      <x:c r="F1" s="4"/>
      <x:c r="G1" s="4"/>
      <x:c r="H1" s="4"/>
      <x:c r="I1" s="4"/>
    </x:row>
    <x:row r="2" ht="25.5" customHeight="1">
      <x:c r="A2" s="7" t="str">
        <x:v>Store personal constraints and active-investment exceptions that change decisions. Balance Sheet stores asset facts only.</x:v>
      </x:c>
      <x:c r="B2" s="7"/>
      <x:c r="C2" s="7"/>
      <x:c r="D2" s="7"/>
      <x:c r="E2" s="7"/>
      <x:c r="F2" s="7"/>
      <x:c r="G2" s="7"/>
      <x:c r="H2" s="7"/>
      <x:c r="I2" s="7"/>
    </x:row>
    <x:row r="3" ht="9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2.5" customHeight="1">
      <x:c r="A4" s="11" t="str">
        <x:v>PERSONAL CONSTRAINT</x:v>
      </x:c>
      <x:c r="B4" s="11" t="str">
        <x:v>VALUE</x:v>
      </x:c>
      <x:c r="C4" s="11" t="str">
        <x:v>PURPOSE</x:v>
      </x:c>
      <x:c r="D4" s="2"/>
      <x:c r="E4" s="2"/>
      <x:c r="F4" s="2"/>
      <x:c r="G4" s="2"/>
      <x:c r="H4" s="2"/>
      <x:c r="I4" s="2"/>
    </x:row>
    <x:row r="5" ht="19.5" customHeight="1">
      <x:c r="A5" s="2" t="str">
        <x:v>CNY Defensive Reserve Floor</x:v>
      </x:c>
      <x:c r="B5" s="19"/>
      <x:c r="C5" s="2" t="str">
        <x:v>CNY cash plus low-risk CNY reserve. Set only from personal obligations and income risk.</x:v>
      </x:c>
      <x:c r="D5" s="2"/>
      <x:c r="E5" s="2"/>
      <x:c r="F5" s="2"/>
      <x:c r="G5" s="2"/>
      <x:c r="H5" s="2"/>
      <x:c r="I5" s="2"/>
    </x:row>
    <x:row r="6" ht="19.5" customHeight="1">
      <x:c r="A6" s="2" t="str">
        <x:v>Immediate CNY Cash Floor</x:v>
      </x:c>
      <x:c r="B6" s="19"/>
      <x:c r="C6" s="2" t="str">
        <x:v>Immediately available emergency cash; no redemption required.</x:v>
      </x:c>
      <x:c r="D6" s="2"/>
      <x:c r="E6" s="2"/>
      <x:c r="F6" s="2"/>
      <x:c r="G6" s="2"/>
      <x:c r="H6" s="2"/>
      <x:c r="I6" s="2"/>
    </x:row>
    <x:row r="7" ht="19.5" customHeight="1">
      <x:c r="A7" s="2" t="str">
        <x:v>Low-Risk CNY Reserve Guide</x:v>
      </x:c>
      <x:c r="B7" s="19"/>
      <x:c r="C7" s="2" t="str">
        <x:v>Second-line CNY buffer; not treated as identical to cash.</x:v>
      </x:c>
      <x:c r="D7" s="2"/>
      <x:c r="E7" s="2"/>
      <x:c r="F7" s="2"/>
      <x:c r="G7" s="2"/>
      <x:c r="H7" s="2"/>
      <x:c r="I7" s="2"/>
    </x:row>
    <x:row r="8" ht="19.5" customHeight="1">
      <x:c r="A8" s="2" t="str">
        <x:v>Monthly [TICKER] Contribution ([CCY])</x:v>
      </x:c>
      <x:c r="B8" s="19"/>
      <x:c r="C8" s="2" t="str">
        <x:v>Replace both placeholders and enter a positive monthly target. Record actual purchases in 04 Investment Flow.</x:v>
      </x:c>
      <x:c r="D8" s="2"/>
      <x:c r="E8" s="2"/>
      <x:c r="F8" s="2"/>
      <x:c r="G8" s="2"/>
      <x:c r="H8" s="2"/>
      <x:c r="I8" s="2"/>
    </x:row>
    <x:row r="9" ht="9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1" customHeight="1">
      <x:c r="A10" s="21" t="str">
        <x:v>ACTIVE INVESTMENT EXCEPTIONS</x:v>
      </x:c>
      <x:c r="B10" s="21"/>
      <x:c r="C10" s="21"/>
      <x:c r="D10" s="21"/>
      <x:c r="E10" s="21"/>
      <x:c r="F10" s="21"/>
      <x:c r="G10" s="21"/>
      <x:c r="H10" s="21"/>
      <x:c r="I10" s="21"/>
    </x:row>
    <x:row r="11" ht="25.5" customHeight="1">
      <x:c r="A11" s="11" t="str">
        <x:v>ASSET</x:v>
      </x:c>
      <x:c r="B11" s="11" t="str">
        <x:v>TICKER</x:v>
      </x:c>
      <x:c r="C11" s="11" t="str">
        <x:v>CURRENCY</x:v>
      </x:c>
      <x:c r="D11" s="11" t="str">
        <x:v>STRATEGY ROLE</x:v>
      </x:c>
      <x:c r="E11" s="11" t="str">
        <x:v>HOLDING RATIONALE</x:v>
      </x:c>
      <x:c r="F11" s="11" t="str">
        <x:v>MAXIMUM WEIGHT</x:v>
      </x:c>
      <x:c r="G11" s="11" t="str">
        <x:v>EXIT CONDITION</x:v>
      </x:c>
      <x:c r="H11" s="11" t="str">
        <x:v>REVIEW DATE</x:v>
      </x:c>
      <x:c r="I11" s="11" t="str">
        <x:v>DECISION</x:v>
      </x:c>
    </x:row>
    <x:row r="12" ht="21" customHeight="1">
      <x:c r="A12" s="2"/>
      <x:c r="B12" s="2"/>
      <x:c r="C12" s="12" t="str">
        <x:f>IF(B12="","",IFERROR(INDEX('02 Balance Sheet'!D:D,MATCH(B12,'02 Balance Sheet'!C:C,0)),""))</x:f>
      </x:c>
      <x:c r="D12" s="22"/>
      <x:c r="E12" s="22"/>
      <x:c r="F12" s="23"/>
      <x:c r="G12" s="22"/>
      <x:c r="H12" s="24"/>
      <x:c r="I12" s="22"/>
    </x:row>
    <x:row r="13" ht="21" customHeight="1">
      <x:c r="A13" s="2"/>
      <x:c r="B13" s="2"/>
      <x:c r="C13" s="12" t="str">
        <x:f>IF(B13="","",IFERROR(INDEX('02 Balance Sheet'!D:D,MATCH(B13,'02 Balance Sheet'!C:C,0)),""))</x:f>
      </x:c>
      <x:c r="D13" s="22"/>
      <x:c r="E13" s="22"/>
      <x:c r="F13" s="23"/>
      <x:c r="G13" s="22"/>
      <x:c r="H13" s="24"/>
      <x:c r="I13" s="22"/>
    </x:row>
    <x:row r="14" ht="21" customHeight="1">
      <x:c r="A14" s="2"/>
      <x:c r="B14" s="2"/>
      <x:c r="C14" s="12" t="str">
        <x:f>IF(B14="","",IFERROR(INDEX('02 Balance Sheet'!D:D,MATCH(B14,'02 Balance Sheet'!C:C,0)),""))</x:f>
      </x:c>
      <x:c r="D14" s="22"/>
      <x:c r="E14" s="22"/>
      <x:c r="F14" s="23"/>
      <x:c r="G14" s="22"/>
      <x:c r="H14" s="24"/>
      <x:c r="I14" s="22"/>
    </x:row>
    <x:row r="15" ht="21" customHeight="1">
      <x:c r="A15" s="2"/>
      <x:c r="B15" s="2"/>
      <x:c r="C15" s="12" t="str">
        <x:f>IF(B15="","",IFERROR(INDEX('02 Balance Sheet'!D:D,MATCH(B15,'02 Balance Sheet'!C:C,0)),""))</x:f>
      </x:c>
      <x:c r="D15" s="22"/>
      <x:c r="E15" s="22"/>
      <x:c r="F15" s="23"/>
      <x:c r="G15" s="22"/>
      <x:c r="H15" s="24"/>
      <x:c r="I15" s="22"/>
    </x:row>
    <x:row r="16" ht="21" customHeight="1">
      <x:c r="A16" s="2"/>
      <x:c r="B16" s="2"/>
      <x:c r="C16" s="12" t="str">
        <x:f>IF(B16="","",IFERROR(INDEX('02 Balance Sheet'!D:D,MATCH(B16,'02 Balance Sheet'!C:C,0)),""))</x:f>
      </x:c>
      <x:c r="D16" s="22"/>
      <x:c r="E16" s="22"/>
      <x:c r="F16" s="23"/>
      <x:c r="G16" s="22"/>
      <x:c r="H16" s="24"/>
      <x:c r="I16" s="22"/>
    </x:row>
    <x:row r="17" ht="21" customHeight="1">
      <x:c r="A17" s="2"/>
      <x:c r="B17" s="2"/>
      <x:c r="C17" s="12" t="str">
        <x:f>IF(B17="","",IFERROR(INDEX('02 Balance Sheet'!D:D,MATCH(B17,'02 Balance Sheet'!C:C,0)),""))</x:f>
      </x:c>
      <x:c r="D17" s="22"/>
      <x:c r="E17" s="22"/>
      <x:c r="F17" s="23"/>
      <x:c r="G17" s="22"/>
      <x:c r="H17" s="24"/>
      <x:c r="I17" s="22"/>
    </x:row>
    <x:row r="18" ht="21" customHeight="1">
      <x:c r="A18" s="2"/>
      <x:c r="B18" s="2"/>
      <x:c r="C18" s="12" t="str">
        <x:f>IF(B18="","",IFERROR(INDEX('02 Balance Sheet'!D:D,MATCH(B18,'02 Balance Sheet'!C:C,0)),""))</x:f>
      </x:c>
      <x:c r="D18" s="22"/>
      <x:c r="E18" s="22"/>
      <x:c r="F18" s="23"/>
      <x:c r="G18" s="22"/>
      <x:c r="H18" s="24"/>
      <x:c r="I18" s="22"/>
    </x:row>
    <x:row r="19" ht="21" customHeight="1">
      <x:c r="A19" s="2"/>
      <x:c r="B19" s="2"/>
      <x:c r="C19" s="12" t="str">
        <x:f>IF(B19="","",IFERROR(INDEX('02 Balance Sheet'!D:D,MATCH(B19,'02 Balance Sheet'!C:C,0)),""))</x:f>
      </x:c>
      <x:c r="D19" s="22"/>
      <x:c r="E19" s="22"/>
      <x:c r="F19" s="23"/>
      <x:c r="G19" s="22"/>
      <x:c r="H19" s="24"/>
      <x:c r="I19" s="22"/>
    </x:row>
    <x:row r="20" ht="21" customHeight="1">
      <x:c r="A20" s="2"/>
      <x:c r="B20" s="2"/>
      <x:c r="C20" s="12" t="str">
        <x:f>IF(B20="","",IFERROR(INDEX('02 Balance Sheet'!D:D,MATCH(B20,'02 Balance Sheet'!C:C,0)),""))</x:f>
      </x:c>
      <x:c r="D20" s="22"/>
      <x:c r="E20" s="22"/>
      <x:c r="F20" s="23"/>
      <x:c r="G20" s="22"/>
      <x:c r="H20" s="24"/>
      <x:c r="I20" s="22"/>
    </x:row>
    <x:row r="21" ht="21" customHeight="1">
      <x:c r="A21" s="2"/>
      <x:c r="B21" s="2"/>
      <x:c r="C21" s="12" t="str">
        <x:f>IF(B21="","",IFERROR(INDEX('02 Balance Sheet'!D:D,MATCH(B21,'02 Balance Sheet'!C:C,0)),""))</x:f>
      </x:c>
      <x:c r="D21" s="22"/>
      <x:c r="E21" s="22"/>
      <x:c r="F21" s="23"/>
      <x:c r="G21" s="22"/>
      <x:c r="H21" s="24"/>
      <x:c r="I21" s="22"/>
    </x:row>
    <x:row r="22" ht="21" customHeight="1">
      <x:c r="A22" s="2"/>
      <x:c r="B22" s="2"/>
      <x:c r="C22" s="12" t="str">
        <x:f>IF(B22="","",IFERROR(INDEX('02 Balance Sheet'!D:D,MATCH(B22,'02 Balance Sheet'!C:C,0)),""))</x:f>
      </x:c>
      <x:c r="D22" s="22"/>
      <x:c r="E22" s="22"/>
      <x:c r="F22" s="23"/>
      <x:c r="G22" s="22"/>
      <x:c r="H22" s="24"/>
      <x:c r="I22" s="22"/>
    </x:row>
    <x:row r="23" ht="21" customHeight="1">
      <x:c r="A23" s="2"/>
      <x:c r="B23" s="2"/>
      <x:c r="C23" s="12" t="str">
        <x:f>IF(B23="","",IFERROR(INDEX('02 Balance Sheet'!D:D,MATCH(B23,'02 Balance Sheet'!C:C,0)),""))</x:f>
      </x:c>
      <x:c r="D23" s="22"/>
      <x:c r="E23" s="22"/>
      <x:c r="F23" s="23"/>
      <x:c r="G23" s="22"/>
      <x:c r="H23" s="24"/>
      <x:c r="I23" s="22"/>
    </x:row>
    <x:row r="24" ht="21" customHeight="1">
      <x:c r="A24" s="2"/>
      <x:c r="B24" s="2"/>
      <x:c r="C24" s="12" t="str">
        <x:f>IF(B24="","",IFERROR(INDEX('02 Balance Sheet'!D:D,MATCH(B24,'02 Balance Sheet'!C:C,0)),""))</x:f>
      </x:c>
      <x:c r="D24" s="22"/>
      <x:c r="E24" s="22"/>
      <x:c r="F24" s="23"/>
      <x:c r="G24" s="22"/>
      <x:c r="H24" s="24"/>
      <x:c r="I24" s="22"/>
    </x:row>
    <x:row r="25" ht="21" customHeight="1">
      <x:c r="A25" s="2"/>
      <x:c r="B25" s="2"/>
      <x:c r="C25" s="12" t="str">
        <x:f>IF(B25="","",IFERROR(INDEX('02 Balance Sheet'!D:D,MATCH(B25,'02 Balance Sheet'!C:C,0)),""))</x:f>
      </x:c>
      <x:c r="D25" s="22"/>
      <x:c r="E25" s="22"/>
      <x:c r="F25" s="23"/>
      <x:c r="G25" s="22"/>
      <x:c r="H25" s="24"/>
      <x:c r="I25" s="22"/>
    </x:row>
    <x:row r="26" ht="21" customHeight="1">
      <x:c r="A26" s="2"/>
      <x:c r="B26" s="2"/>
      <x:c r="C26" s="12" t="str">
        <x:f>IF(B26="","",IFERROR(INDEX('02 Balance Sheet'!D:D,MATCH(B26,'02 Balance Sheet'!C:C,0)),""))</x:f>
      </x:c>
      <x:c r="D26" s="22"/>
      <x:c r="E26" s="22"/>
      <x:c r="F26" s="23"/>
      <x:c r="G26" s="22"/>
      <x:c r="H26" s="24"/>
      <x:c r="I26" s="22"/>
    </x:row>
    <x:row r="27" ht="21" customHeight="1">
      <x:c r="A27" s="2"/>
      <x:c r="B27" s="2"/>
      <x:c r="C27" s="12" t="str">
        <x:f>IF(B27="","",IFERROR(INDEX('02 Balance Sheet'!D:D,MATCH(B27,'02 Balance Sheet'!C:C,0)),""))</x:f>
      </x:c>
      <x:c r="D27" s="22"/>
      <x:c r="E27" s="22"/>
      <x:c r="F27" s="23"/>
      <x:c r="G27" s="22"/>
      <x:c r="H27" s="24"/>
      <x:c r="I27" s="22"/>
    </x:row>
    <x:row r="28" ht="21" customHeight="1">
      <x:c r="A28" s="2"/>
      <x:c r="B28" s="2"/>
      <x:c r="C28" s="12" t="str">
        <x:f>IF(B28="","",IFERROR(INDEX('02 Balance Sheet'!D:D,MATCH(B28,'02 Balance Sheet'!C:C,0)),""))</x:f>
      </x:c>
      <x:c r="D28" s="22"/>
      <x:c r="E28" s="22"/>
      <x:c r="F28" s="23"/>
      <x:c r="G28" s="22"/>
      <x:c r="H28" s="24"/>
      <x:c r="I28" s="22"/>
    </x:row>
    <x:row r="29" ht="21" customHeight="1">
      <x:c r="A29" s="2"/>
      <x:c r="B29" s="2"/>
      <x:c r="C29" s="12" t="str">
        <x:f>IF(B29="","",IFERROR(INDEX('02 Balance Sheet'!D:D,MATCH(B29,'02 Balance Sheet'!C:C,0)),""))</x:f>
      </x:c>
      <x:c r="D29" s="22"/>
      <x:c r="E29" s="22"/>
      <x:c r="F29" s="23"/>
      <x:c r="G29" s="22"/>
      <x:c r="H29" s="24"/>
      <x:c r="I29" s="22"/>
    </x:row>
    <x:row r="30" ht="21" customHeight="1">
      <x:c r="A30" s="2"/>
      <x:c r="B30" s="2"/>
      <x:c r="C30" s="12" t="str">
        <x:f>IF(B30="","",IFERROR(INDEX('02 Balance Sheet'!D:D,MATCH(B30,'02 Balance Sheet'!C:C,0)),""))</x:f>
      </x:c>
      <x:c r="D30" s="22"/>
      <x:c r="E30" s="22"/>
      <x:c r="F30" s="23"/>
      <x:c r="G30" s="22"/>
      <x:c r="H30" s="24"/>
      <x:c r="I30" s="22"/>
    </x:row>
    <x:row r="31" ht="21" customHeight="1">
      <x:c r="A31" s="2"/>
      <x:c r="B31" s="2"/>
      <x:c r="C31" s="12" t="str">
        <x:f>IF(B31="","",IFERROR(INDEX('02 Balance Sheet'!D:D,MATCH(B31,'02 Balance Sheet'!C:C,0)),""))</x:f>
      </x:c>
      <x:c r="D31" s="22"/>
      <x:c r="E31" s="22"/>
      <x:c r="F31" s="23"/>
      <x:c r="G31" s="22"/>
      <x:c r="H31" s="24"/>
      <x:c r="I31" s="22"/>
    </x:row>
    <x:row r="32" ht="21" customHeight="1">
      <x:c r="A32" s="2"/>
      <x:c r="B32" s="2"/>
      <x:c r="C32" s="12" t="str">
        <x:f>IF(B32="","",IFERROR(INDEX('02 Balance Sheet'!D:D,MATCH(B32,'02 Balance Sheet'!C:C,0)),""))</x:f>
      </x:c>
      <x:c r="D32" s="22"/>
      <x:c r="E32" s="22"/>
      <x:c r="F32" s="23"/>
      <x:c r="G32" s="22"/>
      <x:c r="H32" s="24"/>
      <x:c r="I32" s="22"/>
    </x:row>
    <x:row r="33" ht="21" customHeight="1">
      <x:c r="A33" s="2"/>
      <x:c r="B33" s="2"/>
      <x:c r="C33" s="12" t="str">
        <x:f>IF(B33="","",IFERROR(INDEX('02 Balance Sheet'!D:D,MATCH(B33,'02 Balance Sheet'!C:C,0)),""))</x:f>
      </x:c>
      <x:c r="D33" s="22"/>
      <x:c r="E33" s="22"/>
      <x:c r="F33" s="23"/>
      <x:c r="G33" s="22"/>
      <x:c r="H33" s="24"/>
      <x:c r="I33" s="22"/>
    </x:row>
    <x:row r="34" ht="21" customHeight="1">
      <x:c r="A34" s="2"/>
      <x:c r="B34" s="2"/>
      <x:c r="C34" s="12" t="str">
        <x:f>IF(B34="","",IFERROR(INDEX('02 Balance Sheet'!D:D,MATCH(B34,'02 Balance Sheet'!C:C,0)),""))</x:f>
      </x:c>
      <x:c r="D34" s="22"/>
      <x:c r="E34" s="22"/>
      <x:c r="F34" s="23"/>
      <x:c r="G34" s="22"/>
      <x:c r="H34" s="24"/>
      <x:c r="I34" s="22"/>
    </x:row>
    <x:row r="35" ht="21" customHeight="1">
      <x:c r="A35" s="2"/>
      <x:c r="B35" s="2"/>
      <x:c r="C35" s="12" t="str">
        <x:f>IF(B35="","",IFERROR(INDEX('02 Balance Sheet'!D:D,MATCH(B35,'02 Balance Sheet'!C:C,0)),""))</x:f>
      </x:c>
      <x:c r="D35" s="22"/>
      <x:c r="E35" s="22"/>
      <x:c r="F35" s="23"/>
      <x:c r="G35" s="22"/>
      <x:c r="H35" s="24"/>
      <x:c r="I35" s="22"/>
    </x:row>
    <x:row r="36" ht="21" customHeight="1">
      <x:c r="A36" s="2"/>
      <x:c r="B36" s="2"/>
      <x:c r="C36" s="12" t="str">
        <x:f>IF(B36="","",IFERROR(INDEX('02 Balance Sheet'!D:D,MATCH(B36,'02 Balance Sheet'!C:C,0)),""))</x:f>
      </x:c>
      <x:c r="D36" s="22"/>
      <x:c r="E36" s="22"/>
      <x:c r="F36" s="23"/>
      <x:c r="G36" s="22"/>
      <x:c r="H36" s="24"/>
      <x:c r="I36" s="22"/>
    </x:row>
    <x:row r="37" ht="21" customHeight="1">
      <x:c r="A37" s="2"/>
      <x:c r="B37" s="2"/>
      <x:c r="C37" s="12" t="str">
        <x:f>IF(B37="","",IFERROR(INDEX('02 Balance Sheet'!D:D,MATCH(B37,'02 Balance Sheet'!C:C,0)),""))</x:f>
      </x:c>
      <x:c r="D37" s="22"/>
      <x:c r="E37" s="22"/>
      <x:c r="F37" s="23"/>
      <x:c r="G37" s="22"/>
      <x:c r="H37" s="24"/>
      <x:c r="I37" s="22"/>
    </x:row>
    <x:row r="38" ht="21" customHeight="1">
      <x:c r="A38" s="2"/>
      <x:c r="B38" s="2"/>
      <x:c r="C38" s="12" t="str">
        <x:f>IF(B38="","",IFERROR(INDEX('02 Balance Sheet'!D:D,MATCH(B38,'02 Balance Sheet'!C:C,0)),""))</x:f>
      </x:c>
      <x:c r="D38" s="22"/>
      <x:c r="E38" s="22"/>
      <x:c r="F38" s="23"/>
      <x:c r="G38" s="22"/>
      <x:c r="H38" s="24"/>
      <x:c r="I38" s="22"/>
    </x:row>
    <x:row r="39" ht="21" customHeight="1">
      <x:c r="A39" s="2"/>
      <x:c r="B39" s="2"/>
      <x:c r="C39" s="12" t="str">
        <x:f>IF(B39="","",IFERROR(INDEX('02 Balance Sheet'!D:D,MATCH(B39,'02 Balance Sheet'!C:C,0)),""))</x:f>
      </x:c>
      <x:c r="D39" s="22"/>
      <x:c r="E39" s="22"/>
      <x:c r="F39" s="23"/>
      <x:c r="G39" s="22"/>
      <x:c r="H39" s="24"/>
      <x:c r="I39" s="22"/>
    </x:row>
    <x:row r="40" ht="21" customHeight="1">
      <x:c r="A40" s="2"/>
      <x:c r="B40" s="2"/>
      <x:c r="C40" s="12" t="str">
        <x:f>IF(B40="","",IFERROR(INDEX('02 Balance Sheet'!D:D,MATCH(B40,'02 Balance Sheet'!C:C,0)),""))</x:f>
      </x:c>
      <x:c r="D40" s="22"/>
      <x:c r="E40" s="22"/>
      <x:c r="F40" s="23"/>
      <x:c r="G40" s="22"/>
      <x:c r="H40" s="24"/>
      <x:c r="I40" s="22"/>
    </x:row>
    <x:row r="41" ht="21" customHeight="1">
      <x:c r="A41" s="2"/>
      <x:c r="B41" s="2"/>
      <x:c r="C41" s="12" t="str">
        <x:f>IF(B41="","",IFERROR(INDEX('02 Balance Sheet'!D:D,MATCH(B41,'02 Balance Sheet'!C:C,0)),""))</x:f>
      </x:c>
      <x:c r="D41" s="22"/>
      <x:c r="E41" s="22"/>
      <x:c r="F41" s="23"/>
      <x:c r="G41" s="22"/>
      <x:c r="H41" s="24"/>
      <x:c r="I41" s="22"/>
    </x:row>
    <x:row r="42" ht="21" customHeight="1">
      <x:c r="A42" s="2"/>
      <x:c r="B42" s="2"/>
      <x:c r="C42" s="12" t="str">
        <x:f>IF(B42="","",IFERROR(INDEX('02 Balance Sheet'!D:D,MATCH(B42,'02 Balance Sheet'!C:C,0)),""))</x:f>
      </x:c>
      <x:c r="D42" s="22"/>
      <x:c r="E42" s="22"/>
      <x:c r="F42" s="23"/>
      <x:c r="G42" s="22"/>
      <x:c r="H42" s="24"/>
      <x:c r="I42" s="22"/>
    </x:row>
    <x:row r="43" ht="21" customHeight="1">
      <x:c r="A43" s="2"/>
      <x:c r="B43" s="2"/>
      <x:c r="C43" s="12" t="str">
        <x:f>IF(B43="","",IFERROR(INDEX('02 Balance Sheet'!D:D,MATCH(B43,'02 Balance Sheet'!C:C,0)),""))</x:f>
      </x:c>
      <x:c r="D43" s="22"/>
      <x:c r="E43" s="22"/>
      <x:c r="F43" s="23"/>
      <x:c r="G43" s="22"/>
      <x:c r="H43" s="24"/>
      <x:c r="I43" s="22"/>
    </x:row>
    <x:row r="44" ht="21" customHeight="1">
      <x:c r="A44" s="2"/>
      <x:c r="B44" s="2"/>
      <x:c r="C44" s="12" t="str">
        <x:f>IF(B44="","",IFERROR(INDEX('02 Balance Sheet'!D:D,MATCH(B44,'02 Balance Sheet'!C:C,0)),""))</x:f>
      </x:c>
      <x:c r="D44" s="22"/>
      <x:c r="E44" s="22"/>
      <x:c r="F44" s="23"/>
      <x:c r="G44" s="22"/>
      <x:c r="H44" s="24"/>
      <x:c r="I44" s="22"/>
    </x:row>
    <x:row r="45" ht="21" customHeight="1">
      <x:c r="A45" s="2"/>
      <x:c r="B45" s="2"/>
      <x:c r="C45" s="12" t="str">
        <x:f>IF(B45="","",IFERROR(INDEX('02 Balance Sheet'!D:D,MATCH(B45,'02 Balance Sheet'!C:C,0)),""))</x:f>
      </x:c>
      <x:c r="D45" s="22"/>
      <x:c r="E45" s="22"/>
      <x:c r="F45" s="23"/>
      <x:c r="G45" s="22"/>
      <x:c r="H45" s="24"/>
      <x:c r="I45" s="22"/>
    </x:row>
    <x:row r="46" ht="21" customHeight="1">
      <x:c r="A46" s="2"/>
      <x:c r="B46" s="2"/>
      <x:c r="C46" s="12" t="str">
        <x:f>IF(B46="","",IFERROR(INDEX('02 Balance Sheet'!D:D,MATCH(B46,'02 Balance Sheet'!C:C,0)),""))</x:f>
      </x:c>
      <x:c r="D46" s="22"/>
      <x:c r="E46" s="22"/>
      <x:c r="F46" s="23"/>
      <x:c r="G46" s="22"/>
      <x:c r="H46" s="24"/>
      <x:c r="I46" s="22"/>
    </x:row>
    <x:row r="47" ht="21" customHeight="1">
      <x:c r="A47" s="2"/>
      <x:c r="B47" s="2"/>
      <x:c r="C47" s="12" t="str">
        <x:f>IF(B47="","",IFERROR(INDEX('02 Balance Sheet'!D:D,MATCH(B47,'02 Balance Sheet'!C:C,0)),""))</x:f>
      </x:c>
      <x:c r="D47" s="22"/>
      <x:c r="E47" s="22"/>
      <x:c r="F47" s="23"/>
      <x:c r="G47" s="22"/>
      <x:c r="H47" s="24"/>
      <x:c r="I47" s="22"/>
    </x:row>
    <x:row r="48" ht="21" customHeight="1">
      <x:c r="A48" s="2"/>
      <x:c r="B48" s="2"/>
      <x:c r="C48" s="12" t="str">
        <x:f>IF(B48="","",IFERROR(INDEX('02 Balance Sheet'!D:D,MATCH(B48,'02 Balance Sheet'!C:C,0)),""))</x:f>
      </x:c>
      <x:c r="D48" s="22"/>
      <x:c r="E48" s="22"/>
      <x:c r="F48" s="23"/>
      <x:c r="G48" s="22"/>
      <x:c r="H48" s="24"/>
      <x:c r="I48" s="22"/>
    </x:row>
    <x:row r="49" ht="21" customHeight="1">
      <x:c r="A49" s="2"/>
      <x:c r="B49" s="2"/>
      <x:c r="C49" s="12" t="str">
        <x:f>IF(B49="","",IFERROR(INDEX('02 Balance Sheet'!D:D,MATCH(B49,'02 Balance Sheet'!C:C,0)),""))</x:f>
      </x:c>
      <x:c r="D49" s="22"/>
      <x:c r="E49" s="22"/>
      <x:c r="F49" s="23"/>
      <x:c r="G49" s="22"/>
      <x:c r="H49" s="24"/>
      <x:c r="I49" s="22"/>
    </x:row>
    <x:row r="50" ht="21" customHeight="1">
      <x:c r="A50" s="2"/>
      <x:c r="B50" s="2"/>
      <x:c r="C50" s="12" t="str">
        <x:f>IF(B50="","",IFERROR(INDEX('02 Balance Sheet'!D:D,MATCH(B50,'02 Balance Sheet'!C:C,0)),""))</x:f>
      </x:c>
      <x:c r="D50" s="22"/>
      <x:c r="E50" s="22"/>
      <x:c r="F50" s="23"/>
      <x:c r="G50" s="22"/>
      <x:c r="H50" s="24"/>
      <x:c r="I50" s="22"/>
    </x:row>
    <x:row r="51" ht="21" customHeight="1">
      <x:c r="A51" s="2"/>
      <x:c r="B51" s="2"/>
      <x:c r="C51" s="12" t="str">
        <x:f>IF(B51="","",IFERROR(INDEX('02 Balance Sheet'!D:D,MATCH(B51,'02 Balance Sheet'!C:C,0)),""))</x:f>
      </x:c>
      <x:c r="D51" s="22"/>
      <x:c r="E51" s="22"/>
      <x:c r="F51" s="23"/>
      <x:c r="G51" s="22"/>
      <x:c r="H51" s="24"/>
      <x:c r="I51" s="22"/>
    </x:row>
    <x:row r="52" ht="21" customHeight="1">
      <x:c r="A52" s="2"/>
      <x:c r="B52" s="2"/>
      <x:c r="C52" s="12" t="str">
        <x:f>IF(B52="","",IFERROR(INDEX('02 Balance Sheet'!D:D,MATCH(B52,'02 Balance Sheet'!C:C,0)),""))</x:f>
      </x:c>
      <x:c r="D52" s="22"/>
      <x:c r="E52" s="22"/>
      <x:c r="F52" s="23"/>
      <x:c r="G52" s="22"/>
      <x:c r="H52" s="24"/>
      <x:c r="I52" s="22"/>
    </x:row>
    <x:row r="53" ht="21" customHeight="1">
      <x:c r="A53" s="2"/>
      <x:c r="B53" s="2"/>
      <x:c r="C53" s="12" t="str">
        <x:f>IF(B53="","",IFERROR(INDEX('02 Balance Sheet'!D:D,MATCH(B53,'02 Balance Sheet'!C:C,0)),""))</x:f>
      </x:c>
      <x:c r="D53" s="22"/>
      <x:c r="E53" s="22"/>
      <x:c r="F53" s="23"/>
      <x:c r="G53" s="22"/>
      <x:c r="H53" s="24"/>
      <x:c r="I53" s="22"/>
    </x:row>
    <x:row r="54" ht="21" customHeight="1">
      <x:c r="A54" s="2"/>
      <x:c r="B54" s="2"/>
      <x:c r="C54" s="12" t="str">
        <x:f>IF(B54="","",IFERROR(INDEX('02 Balance Sheet'!D:D,MATCH(B54,'02 Balance Sheet'!C:C,0)),""))</x:f>
      </x:c>
      <x:c r="D54" s="22"/>
      <x:c r="E54" s="22"/>
      <x:c r="F54" s="23"/>
      <x:c r="G54" s="22"/>
      <x:c r="H54" s="24"/>
      <x:c r="I54" s="22"/>
    </x:row>
    <x:row r="55" ht="21" customHeight="1">
      <x:c r="A55" s="2"/>
      <x:c r="B55" s="2"/>
      <x:c r="C55" s="12" t="str">
        <x:f>IF(B55="","",IFERROR(INDEX('02 Balance Sheet'!D:D,MATCH(B55,'02 Balance Sheet'!C:C,0)),""))</x:f>
      </x:c>
      <x:c r="D55" s="22"/>
      <x:c r="E55" s="22"/>
      <x:c r="F55" s="23"/>
      <x:c r="G55" s="22"/>
      <x:c r="H55" s="24"/>
      <x:c r="I55" s="22"/>
    </x:row>
    <x:row r="56" ht="21" customHeight="1">
      <x:c r="A56" s="2"/>
      <x:c r="B56" s="2"/>
      <x:c r="C56" s="12" t="str">
        <x:f>IF(B56="","",IFERROR(INDEX('02 Balance Sheet'!D:D,MATCH(B56,'02 Balance Sheet'!C:C,0)),""))</x:f>
      </x:c>
      <x:c r="D56" s="22"/>
      <x:c r="E56" s="22"/>
      <x:c r="F56" s="23"/>
      <x:c r="G56" s="22"/>
      <x:c r="H56" s="24"/>
      <x:c r="I56" s="22"/>
    </x:row>
    <x:row r="57" ht="21" customHeight="1">
      <x:c r="A57" s="2"/>
      <x:c r="B57" s="2"/>
      <x:c r="C57" s="12" t="str">
        <x:f>IF(B57="","",IFERROR(INDEX('02 Balance Sheet'!D:D,MATCH(B57,'02 Balance Sheet'!C:C,0)),""))</x:f>
      </x:c>
      <x:c r="D57" s="22"/>
      <x:c r="E57" s="22"/>
      <x:c r="F57" s="23"/>
      <x:c r="G57" s="22"/>
      <x:c r="H57" s="24"/>
      <x:c r="I57" s="22"/>
    </x:row>
    <x:row r="58" ht="21" customHeight="1">
      <x:c r="A58" s="2"/>
      <x:c r="B58" s="2"/>
      <x:c r="C58" s="12" t="str">
        <x:f>IF(B58="","",IFERROR(INDEX('02 Balance Sheet'!D:D,MATCH(B58,'02 Balance Sheet'!C:C,0)),""))</x:f>
      </x:c>
      <x:c r="D58" s="22"/>
      <x:c r="E58" s="22"/>
      <x:c r="F58" s="23"/>
      <x:c r="G58" s="22"/>
      <x:c r="H58" s="24"/>
      <x:c r="I58" s="22"/>
    </x:row>
    <x:row r="59" ht="21" customHeight="1">
      <x:c r="A59" s="2"/>
      <x:c r="B59" s="2"/>
      <x:c r="C59" s="12" t="str">
        <x:f>IF(B59="","",IFERROR(INDEX('02 Balance Sheet'!D:D,MATCH(B59,'02 Balance Sheet'!C:C,0)),""))</x:f>
      </x:c>
      <x:c r="D59" s="22"/>
      <x:c r="E59" s="22"/>
      <x:c r="F59" s="23"/>
      <x:c r="G59" s="22"/>
      <x:c r="H59" s="24"/>
      <x:c r="I59" s="22"/>
    </x:row>
    <x:row r="60" ht="21" customHeight="1">
      <x:c r="A60" s="2"/>
      <x:c r="B60" s="2"/>
      <x:c r="C60" s="12" t="str">
        <x:f>IF(B60="","",IFERROR(INDEX('02 Balance Sheet'!D:D,MATCH(B60,'02 Balance Sheet'!C:C,0)),""))</x:f>
      </x:c>
      <x:c r="D60" s="22"/>
      <x:c r="E60" s="22"/>
      <x:c r="F60" s="23"/>
      <x:c r="G60" s="22"/>
      <x:c r="H60" s="24"/>
      <x:c r="I60" s="22"/>
    </x:row>
    <x:row r="61" ht="21" customHeight="1">
      <x:c r="A61" s="2"/>
      <x:c r="B61" s="2"/>
      <x:c r="C61" s="12" t="str">
        <x:f>IF(B61="","",IFERROR(INDEX('02 Balance Sheet'!D:D,MATCH(B61,'02 Balance Sheet'!C:C,0)),""))</x:f>
      </x:c>
      <x:c r="D61" s="22"/>
      <x:c r="E61" s="22"/>
      <x:c r="F61" s="23"/>
      <x:c r="G61" s="22"/>
      <x:c r="H61" s="24"/>
      <x:c r="I61" s="22"/>
    </x:row>
    <x:row r="62" ht="21" customHeight="1">
      <x:c r="A62" s="2"/>
      <x:c r="B62" s="2"/>
      <x:c r="C62" s="12" t="str">
        <x:f>IF(B62="","",IFERROR(INDEX('02 Balance Sheet'!D:D,MATCH(B62,'02 Balance Sheet'!C:C,0)),""))</x:f>
      </x:c>
      <x:c r="D62" s="22"/>
      <x:c r="E62" s="22"/>
      <x:c r="F62" s="23"/>
      <x:c r="G62" s="22"/>
      <x:c r="H62" s="24"/>
      <x:c r="I62" s="22"/>
    </x:row>
    <x:row r="63" ht="21" customHeight="1">
      <x:c r="A63" s="2"/>
      <x:c r="B63" s="2"/>
      <x:c r="C63" s="12" t="str">
        <x:f>IF(B63="","",IFERROR(INDEX('02 Balance Sheet'!D:D,MATCH(B63,'02 Balance Sheet'!C:C,0)),""))</x:f>
      </x:c>
      <x:c r="D63" s="22"/>
      <x:c r="E63" s="22"/>
      <x:c r="F63" s="23"/>
      <x:c r="G63" s="22"/>
      <x:c r="H63" s="24"/>
      <x:c r="I63" s="22"/>
    </x:row>
    <x:row r="64" ht="21" customHeight="1">
      <x:c r="A64" s="2"/>
      <x:c r="B64" s="2"/>
      <x:c r="C64" s="12" t="str">
        <x:f>IF(B64="","",IFERROR(INDEX('02 Balance Sheet'!D:D,MATCH(B64,'02 Balance Sheet'!C:C,0)),""))</x:f>
      </x:c>
      <x:c r="D64" s="22"/>
      <x:c r="E64" s="22"/>
      <x:c r="F64" s="23"/>
      <x:c r="G64" s="22"/>
      <x:c r="H64" s="24"/>
      <x:c r="I64" s="22"/>
    </x:row>
    <x:row r="65" ht="21" customHeight="1">
      <x:c r="A65" s="2"/>
      <x:c r="B65" s="2"/>
      <x:c r="C65" s="12" t="str">
        <x:f>IF(B65="","",IFERROR(INDEX('02 Balance Sheet'!D:D,MATCH(B65,'02 Balance Sheet'!C:C,0)),""))</x:f>
      </x:c>
      <x:c r="D65" s="22"/>
      <x:c r="E65" s="22"/>
      <x:c r="F65" s="23"/>
      <x:c r="G65" s="22"/>
      <x:c r="H65" s="24"/>
      <x:c r="I65" s="22"/>
    </x:row>
    <x:row r="66" ht="21" customHeight="1">
      <x:c r="A66" s="2"/>
      <x:c r="B66" s="2"/>
      <x:c r="C66" s="12" t="str">
        <x:f>IF(B66="","",IFERROR(INDEX('02 Balance Sheet'!D:D,MATCH(B66,'02 Balance Sheet'!C:C,0)),""))</x:f>
      </x:c>
      <x:c r="D66" s="22"/>
      <x:c r="E66" s="22"/>
      <x:c r="F66" s="23"/>
      <x:c r="G66" s="22"/>
      <x:c r="H66" s="24"/>
      <x:c r="I66" s="22"/>
    </x:row>
    <x:row r="67" ht="21" customHeight="1">
      <x:c r="A67" s="2"/>
      <x:c r="B67" s="2"/>
      <x:c r="C67" s="12" t="str">
        <x:f>IF(B67="","",IFERROR(INDEX('02 Balance Sheet'!D:D,MATCH(B67,'02 Balance Sheet'!C:C,0)),""))</x:f>
      </x:c>
      <x:c r="D67" s="22"/>
      <x:c r="E67" s="22"/>
      <x:c r="F67" s="23"/>
      <x:c r="G67" s="22"/>
      <x:c r="H67" s="24"/>
      <x:c r="I67" s="22"/>
    </x:row>
  </x:sheetData>
  <x:mergeCells>
    <x:mergeCell ref="A1:I1"/>
    <x:mergeCell ref="A2:I2"/>
    <x:mergeCell ref="A10:I10"/>
  </x:mergeCells>
  <x:dataValidations count="1">
    <x:dataValidation type="list" sqref="I12:I67">
      <x:formula1>"Pending Review,Hold,Reduce,Exit,Needs More Data — No Add"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670000076293945" hidden="0" customWidth="1"/>
    <x:col min="2" max="2" width="27.780000686645508" hidden="0" customWidth="1"/>
    <x:col min="3" max="3" width="13.329999923706055" hidden="0" customWidth="1"/>
    <x:col min="4" max="4" width="10" hidden="0" customWidth="1"/>
    <x:col min="5" max="5" width="11.109999656677246" hidden="0" customWidth="1"/>
    <x:col min="6" max="6" width="12.779999732971191" hidden="0" customWidth="1"/>
    <x:col min="7" max="7" width="12.779999732971191" hidden="0" customWidth="1"/>
    <x:col min="8" max="8" width="16.110000610351562" hidden="0" customWidth="1"/>
    <x:col min="9" max="9" width="24.440000534057617" hidden="0" customWidth="1"/>
  </x:cols>
  <x:sheetData>
    <x:row r="1" ht="21" customHeight="1">
      <x:c r="A1" s="4" t="str">
        <x:v>BALANCE SHEET — ASSET FACTS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2" t="str">
        <x:v>SNAPSHOT DATE</x:v>
      </x:c>
      <x:c r="B2" s="25"/>
      <x:c r="C2" s="7" t="str">
        <x:v>Holdings facts: quantity and average cost describe the position; current price is the snapshot-date market price; current value is derived.</x:v>
      </x:c>
      <x:c r="D2" s="7"/>
      <x:c r="E2" s="7"/>
      <x:c r="F2" s="7"/>
      <x:c r="G2" s="7"/>
      <x:c r="H2" s="7"/>
      <x:c r="I2" s="7"/>
    </x:row>
    <x:row r="3" ht="9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.5" customHeight="1">
      <x:c r="A4" s="11" t="str">
        <x:v>ACCOUNT</x:v>
      </x:c>
      <x:c r="B4" s="11" t="str">
        <x:v>ASSET NAME</x:v>
      </x:c>
      <x:c r="C4" s="11" t="str">
        <x:v>TICKER / CODE</x:v>
      </x:c>
      <x:c r="D4" s="11" t="str">
        <x:v>CURRENCY</x:v>
      </x:c>
      <x:c r="E4" s="11" t="str">
        <x:v>QUANTITY</x:v>
      </x:c>
      <x:c r="F4" s="11" t="str">
        <x:v>AVG COST PRICE</x:v>
      </x:c>
      <x:c r="G4" s="11" t="str">
        <x:v>CURRENT PRICE</x:v>
      </x:c>
      <x:c r="H4" s="11" t="str">
        <x:v>CURRENT VALUE LOCAL</x:v>
      </x:c>
      <x:c r="I4" s="11" t="str">
        <x:v>NOTES</x:v>
      </x:c>
    </x:row>
    <x:row r="5" ht="19.5" customHeight="1">
      <x:c r="A5" s="18"/>
      <x:c r="B5" s="18"/>
      <x:c r="C5" s="18"/>
      <x:c r="D5" s="18"/>
      <x:c r="E5" s="19"/>
      <x:c r="F5" s="19"/>
      <x:c r="G5" s="19"/>
      <x:c r="H5" s="14" t="str">
        <x:f>IF(OR(E5="",G5=""),"",E5*G5)</x:f>
      </x:c>
      <x:c r="I5" s="22"/>
    </x:row>
    <x:row r="6" ht="19.5" customHeight="1">
      <x:c r="A6" s="18"/>
      <x:c r="B6" s="18"/>
      <x:c r="C6" s="18"/>
      <x:c r="D6" s="18"/>
      <x:c r="E6" s="19"/>
      <x:c r="F6" s="19"/>
      <x:c r="G6" s="19"/>
      <x:c r="H6" s="14" t="str">
        <x:f>IF(OR(E6="",G6=""),"",E6*G6)</x:f>
      </x:c>
      <x:c r="I6" s="22"/>
    </x:row>
    <x:row r="7" ht="19.5" customHeight="1">
      <x:c r="A7" s="18"/>
      <x:c r="B7" s="18"/>
      <x:c r="C7" s="18"/>
      <x:c r="D7" s="18"/>
      <x:c r="E7" s="19"/>
      <x:c r="F7" s="19"/>
      <x:c r="G7" s="19"/>
      <x:c r="H7" s="14" t="str">
        <x:f>IF(OR(E7="",G7=""),"",E7*G7)</x:f>
      </x:c>
      <x:c r="I7" s="22"/>
    </x:row>
    <x:row r="8" ht="19.5" customHeight="1">
      <x:c r="A8" s="18"/>
      <x:c r="B8" s="18"/>
      <x:c r="C8" s="18"/>
      <x:c r="D8" s="18"/>
      <x:c r="E8" s="19"/>
      <x:c r="F8" s="19"/>
      <x:c r="G8" s="19"/>
      <x:c r="H8" s="14" t="str">
        <x:f>IF(OR(E8="",G8=""),"",E8*G8)</x:f>
      </x:c>
      <x:c r="I8" s="22"/>
    </x:row>
    <x:row r="9" ht="19.5" customHeight="1">
      <x:c r="A9" s="18"/>
      <x:c r="B9" s="18"/>
      <x:c r="C9" s="18"/>
      <x:c r="D9" s="18"/>
      <x:c r="E9" s="19"/>
      <x:c r="F9" s="19"/>
      <x:c r="G9" s="19"/>
      <x:c r="H9" s="14" t="str">
        <x:f>IF(OR(E9="",G9=""),"",E9*G9)</x:f>
      </x:c>
      <x:c r="I9" s="22"/>
    </x:row>
    <x:row r="10" ht="19.5" customHeight="1">
      <x:c r="A10" s="18"/>
      <x:c r="B10" s="18"/>
      <x:c r="C10" s="18"/>
      <x:c r="D10" s="18"/>
      <x:c r="E10" s="19"/>
      <x:c r="F10" s="19"/>
      <x:c r="G10" s="19"/>
      <x:c r="H10" s="14" t="str">
        <x:f>IF(OR(E10="",G10=""),"",E10*G10)</x:f>
      </x:c>
      <x:c r="I10" s="22"/>
    </x:row>
    <x:row r="11" ht="19.5" customHeight="1">
      <x:c r="A11" s="18"/>
      <x:c r="B11" s="18"/>
      <x:c r="C11" s="18"/>
      <x:c r="D11" s="18"/>
      <x:c r="E11" s="19"/>
      <x:c r="F11" s="19"/>
      <x:c r="G11" s="19"/>
      <x:c r="H11" s="14" t="str">
        <x:f>IF(OR(E11="",G11=""),"",E11*G11)</x:f>
      </x:c>
      <x:c r="I11" s="22"/>
    </x:row>
    <x:row r="12" ht="19.5" customHeight="1">
      <x:c r="A12" s="18"/>
      <x:c r="B12" s="18"/>
      <x:c r="C12" s="18"/>
      <x:c r="D12" s="18"/>
      <x:c r="E12" s="19"/>
      <x:c r="F12" s="19"/>
      <x:c r="G12" s="19"/>
      <x:c r="H12" s="14" t="str">
        <x:f>IF(OR(E12="",G12=""),"",E12*G12)</x:f>
      </x:c>
      <x:c r="I12" s="22"/>
    </x:row>
    <x:row r="13" ht="19.5" customHeight="1">
      <x:c r="A13" s="18"/>
      <x:c r="B13" s="18"/>
      <x:c r="C13" s="18"/>
      <x:c r="D13" s="18"/>
      <x:c r="E13" s="19"/>
      <x:c r="F13" s="19"/>
      <x:c r="G13" s="19"/>
      <x:c r="H13" s="14" t="str">
        <x:f>IF(OR(E13="",G13=""),"",E13*G13)</x:f>
      </x:c>
      <x:c r="I13" s="22"/>
    </x:row>
    <x:row r="14" ht="19.5" customHeight="1">
      <x:c r="A14" s="18"/>
      <x:c r="B14" s="18"/>
      <x:c r="C14" s="18"/>
      <x:c r="D14" s="18"/>
      <x:c r="E14" s="19"/>
      <x:c r="F14" s="19"/>
      <x:c r="G14" s="19"/>
      <x:c r="H14" s="14" t="str">
        <x:f>IF(OR(E14="",G14=""),"",E14*G14)</x:f>
      </x:c>
      <x:c r="I14" s="22"/>
    </x:row>
    <x:row r="15" ht="19.5" customHeight="1">
      <x:c r="A15" s="18"/>
      <x:c r="B15" s="18"/>
      <x:c r="C15" s="18"/>
      <x:c r="D15" s="18"/>
      <x:c r="E15" s="19"/>
      <x:c r="F15" s="19"/>
      <x:c r="G15" s="19"/>
      <x:c r="H15" s="14" t="str">
        <x:f>IF(OR(E15="",G15=""),"",E15*G15)</x:f>
      </x:c>
      <x:c r="I15" s="22"/>
    </x:row>
    <x:row r="16" ht="19.5" customHeight="1">
      <x:c r="A16" s="18"/>
      <x:c r="B16" s="18"/>
      <x:c r="C16" s="18"/>
      <x:c r="D16" s="18"/>
      <x:c r="E16" s="19"/>
      <x:c r="F16" s="19"/>
      <x:c r="G16" s="19"/>
      <x:c r="H16" s="14" t="str">
        <x:f>IF(OR(E16="",G16=""),"",E16*G16)</x:f>
      </x:c>
      <x:c r="I16" s="22"/>
    </x:row>
    <x:row r="17" ht="19.5" customHeight="1">
      <x:c r="A17" s="18"/>
      <x:c r="B17" s="18"/>
      <x:c r="C17" s="18"/>
      <x:c r="D17" s="18"/>
      <x:c r="E17" s="19"/>
      <x:c r="F17" s="19"/>
      <x:c r="G17" s="19"/>
      <x:c r="H17" s="14" t="str">
        <x:f>IF(OR(E17="",G17=""),"",E17*G17)</x:f>
      </x:c>
      <x:c r="I17" s="22"/>
    </x:row>
    <x:row r="18" ht="19.5" customHeight="1">
      <x:c r="A18" s="18"/>
      <x:c r="B18" s="18"/>
      <x:c r="C18" s="18"/>
      <x:c r="D18" s="18"/>
      <x:c r="E18" s="19"/>
      <x:c r="F18" s="19"/>
      <x:c r="G18" s="19"/>
      <x:c r="H18" s="14" t="str">
        <x:f>IF(OR(E18="",G18=""),"",E18*G18)</x:f>
      </x:c>
      <x:c r="I18" s="22"/>
    </x:row>
    <x:row r="19" ht="19.5" customHeight="1">
      <x:c r="A19" s="18"/>
      <x:c r="B19" s="18"/>
      <x:c r="C19" s="18"/>
      <x:c r="D19" s="18"/>
      <x:c r="E19" s="19"/>
      <x:c r="F19" s="19"/>
      <x:c r="G19" s="19"/>
      <x:c r="H19" s="14" t="str">
        <x:f>IF(OR(E19="",G19=""),"",E19*G19)</x:f>
      </x:c>
      <x:c r="I19" s="22"/>
    </x:row>
    <x:row r="20" ht="19.5" customHeight="1">
      <x:c r="A20" s="18"/>
      <x:c r="B20" s="18"/>
      <x:c r="C20" s="18"/>
      <x:c r="D20" s="18"/>
      <x:c r="E20" s="19"/>
      <x:c r="F20" s="19"/>
      <x:c r="G20" s="19"/>
      <x:c r="H20" s="14" t="str">
        <x:f>IF(OR(E20="",G20=""),"",E20*G20)</x:f>
      </x:c>
      <x:c r="I20" s="22"/>
    </x:row>
    <x:row r="21" ht="19.5" customHeight="1">
      <x:c r="A21" s="18"/>
      <x:c r="B21" s="18"/>
      <x:c r="C21" s="18"/>
      <x:c r="D21" s="18"/>
      <x:c r="E21" s="19"/>
      <x:c r="F21" s="19"/>
      <x:c r="G21" s="19"/>
      <x:c r="H21" s="14" t="str">
        <x:f>IF(OR(E21="",G21=""),"",E21*G21)</x:f>
      </x:c>
      <x:c r="I21" s="22"/>
    </x:row>
    <x:row r="22" ht="19.5" customHeight="1">
      <x:c r="A22" s="18"/>
      <x:c r="B22" s="18"/>
      <x:c r="C22" s="18"/>
      <x:c r="D22" s="18"/>
      <x:c r="E22" s="19"/>
      <x:c r="F22" s="19"/>
      <x:c r="G22" s="19"/>
      <x:c r="H22" s="14" t="str">
        <x:f>IF(OR(E22="",G22=""),"",E22*G22)</x:f>
      </x:c>
      <x:c r="I22" s="22"/>
    </x:row>
    <x:row r="23" ht="19.5" customHeight="1">
      <x:c r="A23" s="18"/>
      <x:c r="B23" s="18"/>
      <x:c r="C23" s="18"/>
      <x:c r="D23" s="18"/>
      <x:c r="E23" s="19"/>
      <x:c r="F23" s="19"/>
      <x:c r="G23" s="19"/>
      <x:c r="H23" s="14" t="str">
        <x:f>IF(OR(E23="",G23=""),"",E23*G23)</x:f>
      </x:c>
      <x:c r="I23" s="22"/>
    </x:row>
    <x:row r="24" ht="19.5" customHeight="1">
      <x:c r="A24" s="18"/>
      <x:c r="B24" s="18"/>
      <x:c r="C24" s="18"/>
      <x:c r="D24" s="18"/>
      <x:c r="E24" s="19"/>
      <x:c r="F24" s="19"/>
      <x:c r="G24" s="19"/>
      <x:c r="H24" s="14" t="str">
        <x:f>IF(OR(E24="",G24=""),"",E24*G24)</x:f>
      </x:c>
      <x:c r="I24" s="22"/>
    </x:row>
    <x:row r="25" ht="19.5" customHeight="1">
      <x:c r="A25" s="18"/>
      <x:c r="B25" s="18"/>
      <x:c r="C25" s="18"/>
      <x:c r="D25" s="18"/>
      <x:c r="E25" s="19"/>
      <x:c r="F25" s="19"/>
      <x:c r="G25" s="19"/>
      <x:c r="H25" s="14" t="str">
        <x:f>IF(OR(E25="",G25=""),"",E25*G25)</x:f>
      </x:c>
      <x:c r="I25" s="22"/>
    </x:row>
    <x:row r="26" ht="19.5" customHeight="1">
      <x:c r="A26" s="18"/>
      <x:c r="B26" s="18"/>
      <x:c r="C26" s="18"/>
      <x:c r="D26" s="18"/>
      <x:c r="E26" s="19"/>
      <x:c r="F26" s="19"/>
      <x:c r="G26" s="19"/>
      <x:c r="H26" s="14" t="str">
        <x:f>IF(OR(E26="",G26=""),"",E26*G26)</x:f>
      </x:c>
      <x:c r="I26" s="22"/>
    </x:row>
    <x:row r="27" ht="19.5" customHeight="1">
      <x:c r="A27" s="18"/>
      <x:c r="B27" s="18"/>
      <x:c r="C27" s="18"/>
      <x:c r="D27" s="18"/>
      <x:c r="E27" s="19"/>
      <x:c r="F27" s="19"/>
      <x:c r="G27" s="19"/>
      <x:c r="H27" s="14" t="str">
        <x:f>IF(OR(E27="",G27=""),"",E27*G27)</x:f>
      </x:c>
      <x:c r="I27" s="22"/>
    </x:row>
    <x:row r="28" ht="19.5" customHeight="1">
      <x:c r="A28" s="18"/>
      <x:c r="B28" s="18"/>
      <x:c r="C28" s="18"/>
      <x:c r="D28" s="18"/>
      <x:c r="E28" s="19"/>
      <x:c r="F28" s="19"/>
      <x:c r="G28" s="19"/>
      <x:c r="H28" s="14" t="str">
        <x:f>IF(OR(E28="",G28=""),"",E28*G28)</x:f>
      </x:c>
      <x:c r="I28" s="22"/>
    </x:row>
    <x:row r="29" ht="19.5" customHeight="1">
      <x:c r="A29" s="18"/>
      <x:c r="B29" s="18"/>
      <x:c r="C29" s="18"/>
      <x:c r="D29" s="18"/>
      <x:c r="E29" s="19"/>
      <x:c r="F29" s="19"/>
      <x:c r="G29" s="19"/>
      <x:c r="H29" s="14" t="str">
        <x:f>IF(OR(E29="",G29=""),"",E29*G29)</x:f>
      </x:c>
      <x:c r="I29" s="22"/>
    </x:row>
    <x:row r="30" ht="19.5" customHeight="1">
      <x:c r="A30" s="18"/>
      <x:c r="B30" s="18"/>
      <x:c r="C30" s="18"/>
      <x:c r="D30" s="18"/>
      <x:c r="E30" s="19"/>
      <x:c r="F30" s="19"/>
      <x:c r="G30" s="19"/>
      <x:c r="H30" s="14" t="str">
        <x:f>IF(OR(E30="",G30=""),"",E30*G30)</x:f>
      </x:c>
      <x:c r="I30" s="22"/>
    </x:row>
    <x:row r="31" ht="19.5" customHeight="1">
      <x:c r="A31" s="18"/>
      <x:c r="B31" s="18"/>
      <x:c r="C31" s="18"/>
      <x:c r="D31" s="18"/>
      <x:c r="E31" s="19"/>
      <x:c r="F31" s="19"/>
      <x:c r="G31" s="19"/>
      <x:c r="H31" s="14" t="str">
        <x:f>IF(OR(E31="",G31=""),"",E31*G31)</x:f>
      </x:c>
      <x:c r="I31" s="22"/>
    </x:row>
    <x:row r="32" ht="19.5" customHeight="1">
      <x:c r="A32" s="18"/>
      <x:c r="B32" s="18"/>
      <x:c r="C32" s="18"/>
      <x:c r="D32" s="18"/>
      <x:c r="E32" s="19"/>
      <x:c r="F32" s="19"/>
      <x:c r="G32" s="19"/>
      <x:c r="H32" s="14" t="str">
        <x:f>IF(OR(E32="",G32=""),"",E32*G32)</x:f>
      </x:c>
      <x:c r="I32" s="22"/>
    </x:row>
    <x:row r="33" ht="19.5" customHeight="1">
      <x:c r="A33" s="18"/>
      <x:c r="B33" s="18"/>
      <x:c r="C33" s="18"/>
      <x:c r="D33" s="18"/>
      <x:c r="E33" s="19"/>
      <x:c r="F33" s="19"/>
      <x:c r="G33" s="19"/>
      <x:c r="H33" s="14" t="str">
        <x:f>IF(OR(E33="",G33=""),"",E33*G33)</x:f>
      </x:c>
      <x:c r="I33" s="22"/>
    </x:row>
    <x:row r="34" ht="19.5" customHeight="1">
      <x:c r="A34" s="18"/>
      <x:c r="B34" s="18"/>
      <x:c r="C34" s="18"/>
      <x:c r="D34" s="18"/>
      <x:c r="E34" s="19"/>
      <x:c r="F34" s="19"/>
      <x:c r="G34" s="19"/>
      <x:c r="H34" s="14" t="str">
        <x:f>IF(OR(E34="",G34=""),"",E34*G34)</x:f>
      </x:c>
      <x:c r="I34" s="22"/>
    </x:row>
    <x:row r="35" ht="19.5" customHeight="1">
      <x:c r="A35" s="18"/>
      <x:c r="B35" s="18"/>
      <x:c r="C35" s="18"/>
      <x:c r="D35" s="18"/>
      <x:c r="E35" s="19"/>
      <x:c r="F35" s="19"/>
      <x:c r="G35" s="19"/>
      <x:c r="H35" s="14" t="str">
        <x:f>IF(OR(E35="",G35=""),"",E35*G35)</x:f>
      </x:c>
      <x:c r="I35" s="22"/>
    </x:row>
    <x:row r="36" ht="19.5" customHeight="1">
      <x:c r="A36" s="18"/>
      <x:c r="B36" s="18"/>
      <x:c r="C36" s="18"/>
      <x:c r="D36" s="18"/>
      <x:c r="E36" s="19"/>
      <x:c r="F36" s="19"/>
      <x:c r="G36" s="19"/>
      <x:c r="H36" s="14" t="str">
        <x:f>IF(OR(E36="",G36=""),"",E36*G36)</x:f>
      </x:c>
      <x:c r="I36" s="22"/>
    </x:row>
    <x:row r="37" ht="19.5" customHeight="1">
      <x:c r="A37" s="18"/>
      <x:c r="B37" s="18"/>
      <x:c r="C37" s="18"/>
      <x:c r="D37" s="18"/>
      <x:c r="E37" s="19"/>
      <x:c r="F37" s="19"/>
      <x:c r="G37" s="19"/>
      <x:c r="H37" s="14" t="str">
        <x:f>IF(OR(E37="",G37=""),"",E37*G37)</x:f>
      </x:c>
      <x:c r="I37" s="22"/>
    </x:row>
    <x:row r="38" ht="19.5" customHeight="1">
      <x:c r="A38" s="18"/>
      <x:c r="B38" s="18"/>
      <x:c r="C38" s="18"/>
      <x:c r="D38" s="18"/>
      <x:c r="E38" s="19"/>
      <x:c r="F38" s="19"/>
      <x:c r="G38" s="19"/>
      <x:c r="H38" s="14" t="str">
        <x:f>IF(OR(E38="",G38=""),"",E38*G38)</x:f>
      </x:c>
      <x:c r="I38" s="22"/>
    </x:row>
    <x:row r="39" ht="19.5" customHeight="1">
      <x:c r="A39" s="18"/>
      <x:c r="B39" s="18"/>
      <x:c r="C39" s="18"/>
      <x:c r="D39" s="18"/>
      <x:c r="E39" s="19"/>
      <x:c r="F39" s="19"/>
      <x:c r="G39" s="19"/>
      <x:c r="H39" s="14" t="str">
        <x:f>IF(OR(E39="",G39=""),"",E39*G39)</x:f>
      </x:c>
      <x:c r="I39" s="22"/>
    </x:row>
    <x:row r="40" ht="19.5" customHeight="1">
      <x:c r="A40" s="18"/>
      <x:c r="B40" s="18"/>
      <x:c r="C40" s="18"/>
      <x:c r="D40" s="18"/>
      <x:c r="E40" s="19"/>
      <x:c r="F40" s="19"/>
      <x:c r="G40" s="19"/>
      <x:c r="H40" s="14" t="str">
        <x:f>IF(OR(E40="",G40=""),"",E40*G40)</x:f>
      </x:c>
      <x:c r="I40" s="22"/>
    </x:row>
    <x:row r="41" ht="19.5" customHeight="1">
      <x:c r="A41" s="18"/>
      <x:c r="B41" s="18"/>
      <x:c r="C41" s="18"/>
      <x:c r="D41" s="18"/>
      <x:c r="E41" s="19"/>
      <x:c r="F41" s="19"/>
      <x:c r="G41" s="19"/>
      <x:c r="H41" s="14" t="str">
        <x:f>IF(OR(E41="",G41=""),"",E41*G41)</x:f>
      </x:c>
      <x:c r="I41" s="22"/>
    </x:row>
    <x:row r="42" ht="19.5" customHeight="1">
      <x:c r="A42" s="18"/>
      <x:c r="B42" s="18"/>
      <x:c r="C42" s="18"/>
      <x:c r="D42" s="18"/>
      <x:c r="E42" s="19"/>
      <x:c r="F42" s="19"/>
      <x:c r="G42" s="19"/>
      <x:c r="H42" s="14" t="str">
        <x:f>IF(OR(E42="",G42=""),"",E42*G42)</x:f>
      </x:c>
      <x:c r="I42" s="22"/>
    </x:row>
    <x:row r="43" ht="19.5" customHeight="1">
      <x:c r="A43" s="18"/>
      <x:c r="B43" s="18"/>
      <x:c r="C43" s="18"/>
      <x:c r="D43" s="18"/>
      <x:c r="E43" s="19"/>
      <x:c r="F43" s="19"/>
      <x:c r="G43" s="19"/>
      <x:c r="H43" s="14" t="str">
        <x:f>IF(OR(E43="",G43=""),"",E43*G43)</x:f>
      </x:c>
      <x:c r="I43" s="22"/>
    </x:row>
    <x:row r="44" ht="19.5" customHeight="1">
      <x:c r="A44" s="18"/>
      <x:c r="B44" s="18"/>
      <x:c r="C44" s="18"/>
      <x:c r="D44" s="18"/>
      <x:c r="E44" s="19"/>
      <x:c r="F44" s="19"/>
      <x:c r="G44" s="19"/>
      <x:c r="H44" s="14" t="str">
        <x:f>IF(OR(E44="",G44=""),"",E44*G44)</x:f>
      </x:c>
      <x:c r="I44" s="22"/>
    </x:row>
    <x:row r="45" ht="19.5" customHeight="1">
      <x:c r="A45" s="18"/>
      <x:c r="B45" s="18"/>
      <x:c r="C45" s="18"/>
      <x:c r="D45" s="18"/>
      <x:c r="E45" s="19"/>
      <x:c r="F45" s="19"/>
      <x:c r="G45" s="19"/>
      <x:c r="H45" s="14" t="str">
        <x:f>IF(OR(E45="",G45=""),"",E45*G45)</x:f>
      </x:c>
      <x:c r="I45" s="22"/>
    </x:row>
    <x:row r="46" ht="19.5" customHeight="1">
      <x:c r="A46" s="18"/>
      <x:c r="B46" s="18"/>
      <x:c r="C46" s="18"/>
      <x:c r="D46" s="18"/>
      <x:c r="E46" s="19"/>
      <x:c r="F46" s="19"/>
      <x:c r="G46" s="19"/>
      <x:c r="H46" s="14" t="str">
        <x:f>IF(OR(E46="",G46=""),"",E46*G46)</x:f>
      </x:c>
      <x:c r="I46" s="22"/>
    </x:row>
    <x:row r="47" ht="19.5" customHeight="1">
      <x:c r="A47" s="18"/>
      <x:c r="B47" s="18"/>
      <x:c r="C47" s="18"/>
      <x:c r="D47" s="18"/>
      <x:c r="E47" s="19"/>
      <x:c r="F47" s="19"/>
      <x:c r="G47" s="19"/>
      <x:c r="H47" s="14" t="str">
        <x:f>IF(OR(E47="",G47=""),"",E47*G47)</x:f>
      </x:c>
      <x:c r="I47" s="22"/>
    </x:row>
    <x:row r="48" ht="19.5" customHeight="1">
      <x:c r="A48" s="18"/>
      <x:c r="B48" s="18"/>
      <x:c r="C48" s="18"/>
      <x:c r="D48" s="18"/>
      <x:c r="E48" s="19"/>
      <x:c r="F48" s="19"/>
      <x:c r="G48" s="19"/>
      <x:c r="H48" s="14" t="str">
        <x:f>IF(OR(E48="",G48=""),"",E48*G48)</x:f>
      </x:c>
      <x:c r="I48" s="22"/>
    </x:row>
    <x:row r="49" ht="19.5" customHeight="1">
      <x:c r="A49" s="18"/>
      <x:c r="B49" s="18"/>
      <x:c r="C49" s="18"/>
      <x:c r="D49" s="18"/>
      <x:c r="E49" s="19"/>
      <x:c r="F49" s="19"/>
      <x:c r="G49" s="19"/>
      <x:c r="H49" s="14" t="str">
        <x:f>IF(OR(E49="",G49=""),"",E49*G49)</x:f>
      </x:c>
      <x:c r="I49" s="22"/>
    </x:row>
    <x:row r="50" ht="19.5" customHeight="1">
      <x:c r="A50" s="18"/>
      <x:c r="B50" s="18"/>
      <x:c r="C50" s="18"/>
      <x:c r="D50" s="18"/>
      <x:c r="E50" s="19"/>
      <x:c r="F50" s="19"/>
      <x:c r="G50" s="19"/>
      <x:c r="H50" s="14" t="str">
        <x:f>IF(OR(E50="",G50=""),"",E50*G50)</x:f>
      </x:c>
      <x:c r="I50" s="22"/>
    </x:row>
    <x:row r="51" ht="19.5" customHeight="1">
      <x:c r="A51" s="18"/>
      <x:c r="B51" s="18"/>
      <x:c r="C51" s="18"/>
      <x:c r="D51" s="18"/>
      <x:c r="E51" s="19"/>
      <x:c r="F51" s="19"/>
      <x:c r="G51" s="19"/>
      <x:c r="H51" s="14" t="str">
        <x:f>IF(OR(E51="",G51=""),"",E51*G51)</x:f>
      </x:c>
      <x:c r="I51" s="22"/>
    </x:row>
    <x:row r="52" ht="19.5" customHeight="1">
      <x:c r="A52" s="18"/>
      <x:c r="B52" s="18"/>
      <x:c r="C52" s="18"/>
      <x:c r="D52" s="18"/>
      <x:c r="E52" s="19"/>
      <x:c r="F52" s="19"/>
      <x:c r="G52" s="19"/>
      <x:c r="H52" s="14" t="str">
        <x:f>IF(OR(E52="",G52=""),"",E52*G52)</x:f>
      </x:c>
      <x:c r="I52" s="22"/>
    </x:row>
    <x:row r="53" ht="19.5" customHeight="1">
      <x:c r="A53" s="18"/>
      <x:c r="B53" s="18"/>
      <x:c r="C53" s="18"/>
      <x:c r="D53" s="18"/>
      <x:c r="E53" s="19"/>
      <x:c r="F53" s="19"/>
      <x:c r="G53" s="19"/>
      <x:c r="H53" s="14" t="str">
        <x:f>IF(OR(E53="",G53=""),"",E53*G53)</x:f>
      </x:c>
      <x:c r="I53" s="22"/>
    </x:row>
    <x:row r="54" ht="19.5" customHeight="1">
      <x:c r="A54" s="18"/>
      <x:c r="B54" s="18"/>
      <x:c r="C54" s="18"/>
      <x:c r="D54" s="18"/>
      <x:c r="E54" s="19"/>
      <x:c r="F54" s="19"/>
      <x:c r="G54" s="19"/>
      <x:c r="H54" s="14" t="str">
        <x:f>IF(OR(E54="",G54=""),"",E54*G54)</x:f>
      </x:c>
      <x:c r="I54" s="22"/>
    </x:row>
    <x:row r="55" ht="19.5" customHeight="1">
      <x:c r="A55" s="18"/>
      <x:c r="B55" s="18"/>
      <x:c r="C55" s="18"/>
      <x:c r="D55" s="18"/>
      <x:c r="E55" s="19"/>
      <x:c r="F55" s="19"/>
      <x:c r="G55" s="19"/>
      <x:c r="H55" s="14" t="str">
        <x:f>IF(OR(E55="",G55=""),"",E55*G55)</x:f>
      </x:c>
      <x:c r="I55" s="22"/>
    </x:row>
    <x:row r="56" ht="19.5" customHeight="1">
      <x:c r="A56" s="18"/>
      <x:c r="B56" s="18"/>
      <x:c r="C56" s="18"/>
      <x:c r="D56" s="18"/>
      <x:c r="E56" s="19"/>
      <x:c r="F56" s="19"/>
      <x:c r="G56" s="19"/>
      <x:c r="H56" s="14" t="str">
        <x:f>IF(OR(E56="",G56=""),"",E56*G56)</x:f>
      </x:c>
      <x:c r="I56" s="22"/>
    </x:row>
    <x:row r="57" ht="19.5" customHeight="1">
      <x:c r="A57" s="18"/>
      <x:c r="B57" s="18"/>
      <x:c r="C57" s="18"/>
      <x:c r="D57" s="18"/>
      <x:c r="E57" s="19"/>
      <x:c r="F57" s="19"/>
      <x:c r="G57" s="19"/>
      <x:c r="H57" s="14" t="str">
        <x:f>IF(OR(E57="",G57=""),"",E57*G57)</x:f>
      </x:c>
      <x:c r="I57" s="22"/>
    </x:row>
    <x:row r="58" ht="19.5" customHeight="1">
      <x:c r="A58" s="18"/>
      <x:c r="B58" s="18"/>
      <x:c r="C58" s="18"/>
      <x:c r="D58" s="18"/>
      <x:c r="E58" s="19"/>
      <x:c r="F58" s="19"/>
      <x:c r="G58" s="19"/>
      <x:c r="H58" s="14" t="str">
        <x:f>IF(OR(E58="",G58=""),"",E58*G58)</x:f>
      </x:c>
      <x:c r="I58" s="22"/>
    </x:row>
    <x:row r="59" ht="19.5" customHeight="1">
      <x:c r="A59" s="18"/>
      <x:c r="B59" s="18"/>
      <x:c r="C59" s="18"/>
      <x:c r="D59" s="18"/>
      <x:c r="E59" s="19"/>
      <x:c r="F59" s="19"/>
      <x:c r="G59" s="19"/>
      <x:c r="H59" s="14" t="str">
        <x:f>IF(OR(E59="",G59=""),"",E59*G59)</x:f>
      </x:c>
      <x:c r="I59" s="22"/>
    </x:row>
    <x:row r="60" ht="19.5" customHeight="1">
      <x:c r="A60" s="18"/>
      <x:c r="B60" s="18"/>
      <x:c r="C60" s="18"/>
      <x:c r="D60" s="18"/>
      <x:c r="E60" s="19"/>
      <x:c r="F60" s="19"/>
      <x:c r="G60" s="19"/>
      <x:c r="H60" s="14" t="str">
        <x:f>IF(OR(E60="",G60=""),"",E60*G60)</x:f>
      </x:c>
      <x:c r="I60" s="22"/>
    </x:row>
    <x:row r="61" ht="19.5" customHeight="1">
      <x:c r="A61" s="18"/>
      <x:c r="B61" s="18"/>
      <x:c r="C61" s="18"/>
      <x:c r="D61" s="18"/>
      <x:c r="E61" s="19"/>
      <x:c r="F61" s="19"/>
      <x:c r="G61" s="19"/>
      <x:c r="H61" s="14" t="str">
        <x:f>IF(OR(E61="",G61=""),"",E61*G61)</x:f>
      </x:c>
      <x:c r="I61" s="22"/>
    </x:row>
    <x:row r="62" ht="19.5" customHeight="1">
      <x:c r="A62" s="18"/>
      <x:c r="B62" s="18"/>
      <x:c r="C62" s="18"/>
      <x:c r="D62" s="18"/>
      <x:c r="E62" s="19"/>
      <x:c r="F62" s="19"/>
      <x:c r="G62" s="19"/>
      <x:c r="H62" s="14" t="str">
        <x:f>IF(OR(E62="",G62=""),"",E62*G62)</x:f>
      </x:c>
      <x:c r="I62" s="22"/>
    </x:row>
    <x:row r="63" ht="19.5" customHeight="1">
      <x:c r="A63" s="18"/>
      <x:c r="B63" s="18"/>
      <x:c r="C63" s="18"/>
      <x:c r="D63" s="18"/>
      <x:c r="E63" s="19"/>
      <x:c r="F63" s="19"/>
      <x:c r="G63" s="19"/>
      <x:c r="H63" s="14" t="str">
        <x:f>IF(OR(E63="",G63=""),"",E63*G63)</x:f>
      </x:c>
      <x:c r="I63" s="22"/>
    </x:row>
    <x:row r="64" ht="19.5" customHeight="1">
      <x:c r="A64" s="18"/>
      <x:c r="B64" s="18"/>
      <x:c r="C64" s="18"/>
      <x:c r="D64" s="18"/>
      <x:c r="E64" s="19"/>
      <x:c r="F64" s="19"/>
      <x:c r="G64" s="19"/>
      <x:c r="H64" s="14" t="str">
        <x:f>IF(OR(E64="",G64=""),"",E64*G64)</x:f>
      </x:c>
      <x:c r="I64" s="22"/>
    </x:row>
    <x:row r="65" ht="19.5" customHeight="1">
      <x:c r="A65" s="18"/>
      <x:c r="B65" s="18"/>
      <x:c r="C65" s="18"/>
      <x:c r="D65" s="18"/>
      <x:c r="E65" s="19"/>
      <x:c r="F65" s="19"/>
      <x:c r="G65" s="19"/>
      <x:c r="H65" s="14" t="str">
        <x:f>IF(OR(E65="",G65=""),"",E65*G65)</x:f>
      </x:c>
      <x:c r="I65" s="22"/>
    </x:row>
    <x:row r="66" ht="19.5" customHeight="1">
      <x:c r="A66" s="18"/>
      <x:c r="B66" s="18"/>
      <x:c r="C66" s="18"/>
      <x:c r="D66" s="18"/>
      <x:c r="E66" s="19"/>
      <x:c r="F66" s="19"/>
      <x:c r="G66" s="19"/>
      <x:c r="H66" s="14" t="str">
        <x:f>IF(OR(E66="",G66=""),"",E66*G66)</x:f>
      </x:c>
      <x:c r="I66" s="22"/>
    </x:row>
    <x:row r="67" ht="19.5" customHeight="1">
      <x:c r="A67" s="18"/>
      <x:c r="B67" s="18"/>
      <x:c r="C67" s="18"/>
      <x:c r="D67" s="18"/>
      <x:c r="E67" s="19"/>
      <x:c r="F67" s="19"/>
      <x:c r="G67" s="19"/>
      <x:c r="H67" s="14" t="str">
        <x:f>IF(OR(E67="",G67=""),"",E67*G67)</x:f>
      </x:c>
      <x:c r="I67" s="22"/>
    </x:row>
    <x:row r="68" ht="19.5" customHeight="1">
      <x:c r="A68" s="18"/>
      <x:c r="B68" s="18"/>
      <x:c r="C68" s="18"/>
      <x:c r="D68" s="18"/>
      <x:c r="E68" s="19"/>
      <x:c r="F68" s="19"/>
      <x:c r="G68" s="19"/>
      <x:c r="H68" s="14" t="str">
        <x:f>IF(OR(E68="",G68=""),"",E68*G68)</x:f>
      </x:c>
      <x:c r="I68" s="22"/>
    </x:row>
    <x:row r="69" ht="19.5" customHeight="1">
      <x:c r="A69" s="18"/>
      <x:c r="B69" s="18"/>
      <x:c r="C69" s="18"/>
      <x:c r="D69" s="18"/>
      <x:c r="E69" s="19"/>
      <x:c r="F69" s="19"/>
      <x:c r="G69" s="19"/>
      <x:c r="H69" s="14" t="str">
        <x:f>IF(OR(E69="",G69=""),"",E69*G69)</x:f>
      </x:c>
      <x:c r="I69" s="22"/>
    </x:row>
    <x:row r="70" ht="19.5" customHeight="1">
      <x:c r="A70" s="18"/>
      <x:c r="B70" s="18"/>
      <x:c r="C70" s="18"/>
      <x:c r="D70" s="18"/>
      <x:c r="E70" s="19"/>
      <x:c r="F70" s="19"/>
      <x:c r="G70" s="19"/>
      <x:c r="H70" s="14" t="str">
        <x:f>IF(OR(E70="",G70=""),"",E70*G70)</x:f>
      </x:c>
      <x:c r="I70" s="22"/>
    </x:row>
    <x:row r="71" ht="19.5" customHeight="1">
      <x:c r="A71" s="18"/>
      <x:c r="B71" s="18"/>
      <x:c r="C71" s="18"/>
      <x:c r="D71" s="18"/>
      <x:c r="E71" s="19"/>
      <x:c r="F71" s="19"/>
      <x:c r="G71" s="19"/>
      <x:c r="H71" s="14" t="str">
        <x:f>IF(OR(E71="",G71=""),"",E71*G71)</x:f>
      </x:c>
      <x:c r="I71" s="22"/>
    </x:row>
    <x:row r="72" ht="19.5" customHeight="1">
      <x:c r="A72" s="18"/>
      <x:c r="B72" s="18"/>
      <x:c r="C72" s="18"/>
      <x:c r="D72" s="18"/>
      <x:c r="E72" s="19"/>
      <x:c r="F72" s="19"/>
      <x:c r="G72" s="19"/>
      <x:c r="H72" s="14" t="str">
        <x:f>IF(OR(E72="",G72=""),"",E72*G72)</x:f>
      </x:c>
      <x:c r="I72" s="22"/>
    </x:row>
    <x:row r="73" ht="19.5" customHeight="1">
      <x:c r="A73" s="18"/>
      <x:c r="B73" s="18"/>
      <x:c r="C73" s="18"/>
      <x:c r="D73" s="18"/>
      <x:c r="E73" s="19"/>
      <x:c r="F73" s="19"/>
      <x:c r="G73" s="19"/>
      <x:c r="H73" s="14" t="str">
        <x:f>IF(OR(E73="",G73=""),"",E73*G73)</x:f>
      </x:c>
      <x:c r="I73" s="22"/>
    </x:row>
    <x:row r="74" ht="19.5" customHeight="1">
      <x:c r="A74" s="18"/>
      <x:c r="B74" s="18"/>
      <x:c r="C74" s="18"/>
      <x:c r="D74" s="18"/>
      <x:c r="E74" s="19"/>
      <x:c r="F74" s="19"/>
      <x:c r="G74" s="19"/>
      <x:c r="H74" s="14" t="str">
        <x:f>IF(OR(E74="",G74=""),"",E74*G74)</x:f>
      </x:c>
      <x:c r="I74" s="22"/>
    </x:row>
    <x:row r="75" ht="19.5" customHeight="1">
      <x:c r="A75" s="18"/>
      <x:c r="B75" s="18"/>
      <x:c r="C75" s="18"/>
      <x:c r="D75" s="18"/>
      <x:c r="E75" s="19"/>
      <x:c r="F75" s="19"/>
      <x:c r="G75" s="19"/>
      <x:c r="H75" s="14" t="str">
        <x:f>IF(OR(E75="",G75=""),"",E75*G75)</x:f>
      </x:c>
      <x:c r="I75" s="22"/>
    </x:row>
    <x:row r="76" ht="19.5" customHeight="1">
      <x:c r="A76" s="18"/>
      <x:c r="B76" s="18"/>
      <x:c r="C76" s="18"/>
      <x:c r="D76" s="18"/>
      <x:c r="E76" s="19"/>
      <x:c r="F76" s="19"/>
      <x:c r="G76" s="19"/>
      <x:c r="H76" s="14" t="str">
        <x:f>IF(OR(E76="",G76=""),"",E76*G76)</x:f>
      </x:c>
      <x:c r="I76" s="22"/>
    </x:row>
    <x:row r="77" ht="19.5" customHeight="1">
      <x:c r="A77" s="18"/>
      <x:c r="B77" s="18"/>
      <x:c r="C77" s="18"/>
      <x:c r="D77" s="18"/>
      <x:c r="E77" s="19"/>
      <x:c r="F77" s="19"/>
      <x:c r="G77" s="19"/>
      <x:c r="H77" s="14" t="str">
        <x:f>IF(OR(E77="",G77=""),"",E77*G77)</x:f>
      </x:c>
      <x:c r="I77" s="22"/>
    </x:row>
    <x:row r="78" ht="19.5" customHeight="1">
      <x:c r="A78" s="18"/>
      <x:c r="B78" s="18"/>
      <x:c r="C78" s="18"/>
      <x:c r="D78" s="18"/>
      <x:c r="E78" s="19"/>
      <x:c r="F78" s="19"/>
      <x:c r="G78" s="19"/>
      <x:c r="H78" s="14" t="str">
        <x:f>IF(OR(E78="",G78=""),"",E78*G78)</x:f>
      </x:c>
      <x:c r="I78" s="22"/>
    </x:row>
    <x:row r="79" ht="19.5" customHeight="1">
      <x:c r="A79" s="18"/>
      <x:c r="B79" s="18"/>
      <x:c r="C79" s="18"/>
      <x:c r="D79" s="18"/>
      <x:c r="E79" s="19"/>
      <x:c r="F79" s="19"/>
      <x:c r="G79" s="19"/>
      <x:c r="H79" s="14" t="str">
        <x:f>IF(OR(E79="",G79=""),"",E79*G79)</x:f>
      </x:c>
      <x:c r="I79" s="22"/>
    </x:row>
    <x:row r="80" ht="19.5" customHeight="1">
      <x:c r="A80" s="18"/>
      <x:c r="B80" s="18"/>
      <x:c r="C80" s="18"/>
      <x:c r="D80" s="18"/>
      <x:c r="E80" s="19"/>
      <x:c r="F80" s="19"/>
      <x:c r="G80" s="19"/>
      <x:c r="H80" s="14" t="str">
        <x:f>IF(OR(E80="",G80=""),"",E80*G80)</x:f>
      </x:c>
      <x:c r="I80" s="22"/>
    </x:row>
    <x:row r="81" ht="19.5" customHeight="1">
      <x:c r="A81" s="18"/>
      <x:c r="B81" s="18"/>
      <x:c r="C81" s="18"/>
      <x:c r="D81" s="18"/>
      <x:c r="E81" s="19"/>
      <x:c r="F81" s="19"/>
      <x:c r="G81" s="19"/>
      <x:c r="H81" s="14" t="str">
        <x:f>IF(OR(E81="",G81=""),"",E81*G81)</x:f>
      </x:c>
      <x:c r="I81" s="22"/>
    </x:row>
    <x:row r="82" ht="19.5" customHeight="1">
      <x:c r="A82" s="18"/>
      <x:c r="B82" s="18"/>
      <x:c r="C82" s="18"/>
      <x:c r="D82" s="18"/>
      <x:c r="E82" s="19"/>
      <x:c r="F82" s="19"/>
      <x:c r="G82" s="19"/>
      <x:c r="H82" s="14" t="str">
        <x:f>IF(OR(E82="",G82=""),"",E82*G82)</x:f>
      </x:c>
      <x:c r="I82" s="22"/>
    </x:row>
    <x:row r="83" ht="19.5" customHeight="1">
      <x:c r="A83" s="18"/>
      <x:c r="B83" s="18"/>
      <x:c r="C83" s="18"/>
      <x:c r="D83" s="18"/>
      <x:c r="E83" s="19"/>
      <x:c r="F83" s="19"/>
      <x:c r="G83" s="19"/>
      <x:c r="H83" s="14" t="str">
        <x:f>IF(OR(E83="",G83=""),"",E83*G83)</x:f>
      </x:c>
      <x:c r="I83" s="22"/>
    </x:row>
    <x:row r="84" ht="19.5" customHeight="1">
      <x:c r="A84" s="18"/>
      <x:c r="B84" s="18"/>
      <x:c r="C84" s="18"/>
      <x:c r="D84" s="18"/>
      <x:c r="E84" s="19"/>
      <x:c r="F84" s="19"/>
      <x:c r="G84" s="19"/>
      <x:c r="H84" s="14" t="str">
        <x:f>IF(OR(E84="",G84=""),"",E84*G84)</x:f>
      </x:c>
      <x:c r="I84" s="22"/>
    </x:row>
    <x:row r="85" ht="19.5" customHeight="1">
      <x:c r="A85" s="18"/>
      <x:c r="B85" s="18"/>
      <x:c r="C85" s="18"/>
      <x:c r="D85" s="18"/>
      <x:c r="E85" s="19"/>
      <x:c r="F85" s="19"/>
      <x:c r="G85" s="19"/>
      <x:c r="H85" s="14" t="str">
        <x:f>IF(OR(E85="",G85=""),"",E85*G85)</x:f>
      </x:c>
      <x:c r="I85" s="22"/>
    </x:row>
    <x:row r="86" ht="19.5" customHeight="1">
      <x:c r="A86" s="18"/>
      <x:c r="B86" s="18"/>
      <x:c r="C86" s="18"/>
      <x:c r="D86" s="18"/>
      <x:c r="E86" s="19"/>
      <x:c r="F86" s="19"/>
      <x:c r="G86" s="19"/>
      <x:c r="H86" s="14" t="str">
        <x:f>IF(OR(E86="",G86=""),"",E86*G86)</x:f>
      </x:c>
      <x:c r="I86" s="22"/>
    </x:row>
    <x:row r="87" ht="19.5" customHeight="1">
      <x:c r="A87" s="18"/>
      <x:c r="B87" s="18"/>
      <x:c r="C87" s="18"/>
      <x:c r="D87" s="18"/>
      <x:c r="E87" s="19"/>
      <x:c r="F87" s="19"/>
      <x:c r="G87" s="19"/>
      <x:c r="H87" s="14" t="str">
        <x:f>IF(OR(E87="",G87=""),"",E87*G87)</x:f>
      </x:c>
      <x:c r="I87" s="22"/>
    </x:row>
    <x:row r="88" ht="19.5" customHeight="1">
      <x:c r="A88" s="18"/>
      <x:c r="B88" s="18"/>
      <x:c r="C88" s="18"/>
      <x:c r="D88" s="18"/>
      <x:c r="E88" s="19"/>
      <x:c r="F88" s="19"/>
      <x:c r="G88" s="19"/>
      <x:c r="H88" s="14" t="str">
        <x:f>IF(OR(E88="",G88=""),"",E88*G88)</x:f>
      </x:c>
      <x:c r="I88" s="22"/>
    </x:row>
    <x:row r="89" ht="19.5" customHeight="1">
      <x:c r="A89" s="18"/>
      <x:c r="B89" s="18"/>
      <x:c r="C89" s="18"/>
      <x:c r="D89" s="18"/>
      <x:c r="E89" s="19"/>
      <x:c r="F89" s="19"/>
      <x:c r="G89" s="19"/>
      <x:c r="H89" s="14" t="str">
        <x:f>IF(OR(E89="",G89=""),"",E89*G89)</x:f>
      </x:c>
      <x:c r="I89" s="22"/>
    </x:row>
    <x:row r="90" ht="19.5" customHeight="1">
      <x:c r="A90" s="18"/>
      <x:c r="B90" s="18"/>
      <x:c r="C90" s="18"/>
      <x:c r="D90" s="18"/>
      <x:c r="E90" s="19"/>
      <x:c r="F90" s="19"/>
      <x:c r="G90" s="19"/>
      <x:c r="H90" s="14" t="str">
        <x:f>IF(OR(E90="",G90=""),"",E90*G90)</x:f>
      </x:c>
      <x:c r="I90" s="22"/>
    </x:row>
    <x:row r="91" ht="19.5" customHeight="1">
      <x:c r="A91" s="18"/>
      <x:c r="B91" s="18"/>
      <x:c r="C91" s="18"/>
      <x:c r="D91" s="18"/>
      <x:c r="E91" s="19"/>
      <x:c r="F91" s="19"/>
      <x:c r="G91" s="19"/>
      <x:c r="H91" s="14" t="str">
        <x:f>IF(OR(E91="",G91=""),"",E91*G91)</x:f>
      </x:c>
      <x:c r="I91" s="22"/>
    </x:row>
    <x:row r="92" ht="19.5" customHeight="1">
      <x:c r="A92" s="18"/>
      <x:c r="B92" s="18"/>
      <x:c r="C92" s="18"/>
      <x:c r="D92" s="18"/>
      <x:c r="E92" s="19"/>
      <x:c r="F92" s="19"/>
      <x:c r="G92" s="19"/>
      <x:c r="H92" s="14" t="str">
        <x:f>IF(OR(E92="",G92=""),"",E92*G92)</x:f>
      </x:c>
      <x:c r="I92" s="22"/>
    </x:row>
    <x:row r="93" ht="19.5" customHeight="1">
      <x:c r="A93" s="18"/>
      <x:c r="B93" s="18"/>
      <x:c r="C93" s="18"/>
      <x:c r="D93" s="18"/>
      <x:c r="E93" s="19"/>
      <x:c r="F93" s="19"/>
      <x:c r="G93" s="19"/>
      <x:c r="H93" s="14" t="str">
        <x:f>IF(OR(E93="",G93=""),"",E93*G93)</x:f>
      </x:c>
      <x:c r="I93" s="22"/>
    </x:row>
    <x:row r="94" ht="19.5" customHeight="1">
      <x:c r="A94" s="18"/>
      <x:c r="B94" s="18"/>
      <x:c r="C94" s="18"/>
      <x:c r="D94" s="18"/>
      <x:c r="E94" s="19"/>
      <x:c r="F94" s="19"/>
      <x:c r="G94" s="19"/>
      <x:c r="H94" s="14" t="str">
        <x:f>IF(OR(E94="",G94=""),"",E94*G94)</x:f>
      </x:c>
      <x:c r="I94" s="22"/>
    </x:row>
    <x:row r="95" ht="19.5" customHeight="1">
      <x:c r="A95" s="18"/>
      <x:c r="B95" s="18"/>
      <x:c r="C95" s="18"/>
      <x:c r="D95" s="18"/>
      <x:c r="E95" s="19"/>
      <x:c r="F95" s="19"/>
      <x:c r="G95" s="19"/>
      <x:c r="H95" s="14" t="str">
        <x:f>IF(OR(E95="",G95=""),"",E95*G95)</x:f>
      </x:c>
      <x:c r="I95" s="22"/>
    </x:row>
    <x:row r="96" ht="19.5" customHeight="1">
      <x:c r="A96" s="18"/>
      <x:c r="B96" s="18"/>
      <x:c r="C96" s="18"/>
      <x:c r="D96" s="18"/>
      <x:c r="E96" s="19"/>
      <x:c r="F96" s="19"/>
      <x:c r="G96" s="19"/>
      <x:c r="H96" s="14" t="str">
        <x:f>IF(OR(E96="",G96=""),"",E96*G96)</x:f>
      </x:c>
      <x:c r="I96" s="22"/>
    </x:row>
    <x:row r="97" ht="19.5" customHeight="1">
      <x:c r="A97" s="18"/>
      <x:c r="B97" s="18"/>
      <x:c r="C97" s="18"/>
      <x:c r="D97" s="18"/>
      <x:c r="E97" s="19"/>
      <x:c r="F97" s="19"/>
      <x:c r="G97" s="19"/>
      <x:c r="H97" s="14" t="str">
        <x:f>IF(OR(E97="",G97=""),"",E97*G97)</x:f>
      </x:c>
      <x:c r="I97" s="22"/>
    </x:row>
    <x:row r="98" ht="19.5" customHeight="1">
      <x:c r="A98" s="18"/>
      <x:c r="B98" s="18"/>
      <x:c r="C98" s="18"/>
      <x:c r="D98" s="18"/>
      <x:c r="E98" s="19"/>
      <x:c r="F98" s="19"/>
      <x:c r="G98" s="19"/>
      <x:c r="H98" s="14" t="str">
        <x:f>IF(OR(E98="",G98=""),"",E98*G98)</x:f>
      </x:c>
      <x:c r="I98" s="22"/>
    </x:row>
    <x:row r="99" ht="19.5" customHeight="1">
      <x:c r="A99" s="18"/>
      <x:c r="B99" s="18"/>
      <x:c r="C99" s="18"/>
      <x:c r="D99" s="18"/>
      <x:c r="E99" s="19"/>
      <x:c r="F99" s="19"/>
      <x:c r="G99" s="19"/>
      <x:c r="H99" s="14" t="str">
        <x:f>IF(OR(E99="",G99=""),"",E99*G99)</x:f>
      </x:c>
      <x:c r="I99" s="22"/>
    </x:row>
    <x:row r="100" ht="19.5" customHeight="1">
      <x:c r="A100" s="18"/>
      <x:c r="B100" s="18"/>
      <x:c r="C100" s="18"/>
      <x:c r="D100" s="18"/>
      <x:c r="E100" s="19"/>
      <x:c r="F100" s="19"/>
      <x:c r="G100" s="19"/>
      <x:c r="H100" s="14" t="str">
        <x:f>IF(OR(E100="",G100=""),"",E100*G100)</x:f>
      </x:c>
      <x:c r="I100" s="22"/>
    </x:row>
    <x:row r="101" ht="19.5" customHeight="1">
      <x:c r="A101" s="18"/>
      <x:c r="B101" s="18"/>
      <x:c r="C101" s="18"/>
      <x:c r="D101" s="18"/>
      <x:c r="E101" s="19"/>
      <x:c r="F101" s="19"/>
      <x:c r="G101" s="19"/>
      <x:c r="H101" s="14" t="str">
        <x:f>IF(OR(E101="",G101=""),"",E101*G101)</x:f>
      </x:c>
      <x:c r="I101" s="22"/>
    </x:row>
    <x:row r="102" ht="19.5" customHeight="1">
      <x:c r="A102" s="18"/>
      <x:c r="B102" s="18"/>
      <x:c r="C102" s="18"/>
      <x:c r="D102" s="18"/>
      <x:c r="E102" s="19"/>
      <x:c r="F102" s="19"/>
      <x:c r="G102" s="19"/>
      <x:c r="H102" s="14" t="str">
        <x:f>IF(OR(E102="",G102=""),"",E102*G102)</x:f>
      </x:c>
      <x:c r="I102" s="22"/>
    </x:row>
    <x:row r="103" ht="19.5" customHeight="1">
      <x:c r="A103" s="18"/>
      <x:c r="B103" s="18"/>
      <x:c r="C103" s="18"/>
      <x:c r="D103" s="18"/>
      <x:c r="E103" s="19"/>
      <x:c r="F103" s="19"/>
      <x:c r="G103" s="19"/>
      <x:c r="H103" s="14" t="str">
        <x:f>IF(OR(E103="",G103=""),"",E103*G103)</x:f>
      </x:c>
      <x:c r="I103" s="22"/>
    </x:row>
    <x:row r="104" ht="19.5" customHeight="1">
      <x:c r="A104" s="18"/>
      <x:c r="B104" s="18"/>
      <x:c r="C104" s="18"/>
      <x:c r="D104" s="18"/>
      <x:c r="E104" s="19"/>
      <x:c r="F104" s="19"/>
      <x:c r="G104" s="19"/>
      <x:c r="H104" s="14" t="str">
        <x:f>IF(OR(E104="",G104=""),"",E104*G104)</x:f>
      </x:c>
      <x:c r="I104" s="22"/>
    </x:row>
    <x:row r="105" ht="19.5" customHeight="1">
      <x:c r="A105" s="18"/>
      <x:c r="B105" s="18"/>
      <x:c r="C105" s="18"/>
      <x:c r="D105" s="18"/>
      <x:c r="E105" s="19"/>
      <x:c r="F105" s="19"/>
      <x:c r="G105" s="19"/>
      <x:c r="H105" s="14" t="str">
        <x:f>IF(OR(E105="",G105=""),"",E105*G105)</x:f>
      </x:c>
      <x:c r="I105" s="22"/>
    </x:row>
    <x:row r="106" ht="19.5" customHeight="1">
      <x:c r="A106" s="18"/>
      <x:c r="B106" s="18"/>
      <x:c r="C106" s="18"/>
      <x:c r="D106" s="18"/>
      <x:c r="E106" s="19"/>
      <x:c r="F106" s="19"/>
      <x:c r="G106" s="19"/>
      <x:c r="H106" s="14" t="str">
        <x:f>IF(OR(E106="",G106=""),"",E106*G106)</x:f>
      </x:c>
      <x:c r="I106" s="22"/>
    </x:row>
    <x:row r="107" ht="19.5" customHeight="1">
      <x:c r="A107" s="18"/>
      <x:c r="B107" s="18"/>
      <x:c r="C107" s="18"/>
      <x:c r="D107" s="18"/>
      <x:c r="E107" s="19"/>
      <x:c r="F107" s="19"/>
      <x:c r="G107" s="19"/>
      <x:c r="H107" s="14" t="str">
        <x:f>IF(OR(E107="",G107=""),"",E107*G107)</x:f>
      </x:c>
      <x:c r="I107" s="22"/>
    </x:row>
    <x:row r="108" ht="19.5" customHeight="1">
      <x:c r="A108" s="18"/>
      <x:c r="B108" s="18"/>
      <x:c r="C108" s="18"/>
      <x:c r="D108" s="18"/>
      <x:c r="E108" s="19"/>
      <x:c r="F108" s="19"/>
      <x:c r="G108" s="19"/>
      <x:c r="H108" s="14" t="str">
        <x:f>IF(OR(E108="",G108=""),"",E108*G108)</x:f>
      </x:c>
      <x:c r="I108" s="22"/>
    </x:row>
    <x:row r="109" ht="19.5" customHeight="1">
      <x:c r="A109" s="18"/>
      <x:c r="B109" s="18"/>
      <x:c r="C109" s="18"/>
      <x:c r="D109" s="18"/>
      <x:c r="E109" s="19"/>
      <x:c r="F109" s="19"/>
      <x:c r="G109" s="19"/>
      <x:c r="H109" s="14" t="str">
        <x:f>IF(OR(E109="",G109=""),"",E109*G109)</x:f>
      </x:c>
      <x:c r="I109" s="22"/>
    </x:row>
    <x:row r="110" ht="19.5" customHeight="1">
      <x:c r="A110" s="18"/>
      <x:c r="B110" s="18"/>
      <x:c r="C110" s="18"/>
      <x:c r="D110" s="18"/>
      <x:c r="E110" s="19"/>
      <x:c r="F110" s="19"/>
      <x:c r="G110" s="19"/>
      <x:c r="H110" s="14" t="str">
        <x:f>IF(OR(E110="",G110=""),"",E110*G110)</x:f>
      </x:c>
      <x:c r="I110" s="22"/>
    </x:row>
    <x:row r="111" ht="19.5" customHeight="1">
      <x:c r="A111" s="18"/>
      <x:c r="B111" s="18"/>
      <x:c r="C111" s="18"/>
      <x:c r="D111" s="18"/>
      <x:c r="E111" s="19"/>
      <x:c r="F111" s="19"/>
      <x:c r="G111" s="19"/>
      <x:c r="H111" s="14" t="str">
        <x:f>IF(OR(E111="",G111=""),"",E111*G111)</x:f>
      </x:c>
      <x:c r="I111" s="22"/>
    </x:row>
    <x:row r="112" ht="19.5" customHeight="1">
      <x:c r="A112" s="18"/>
      <x:c r="B112" s="18"/>
      <x:c r="C112" s="18"/>
      <x:c r="D112" s="18"/>
      <x:c r="E112" s="19"/>
      <x:c r="F112" s="19"/>
      <x:c r="G112" s="19"/>
      <x:c r="H112" s="14" t="str">
        <x:f>IF(OR(E112="",G112=""),"",E112*G112)</x:f>
      </x:c>
      <x:c r="I112" s="22"/>
    </x:row>
    <x:row r="113" ht="19.5" customHeight="1">
      <x:c r="A113" s="18"/>
      <x:c r="B113" s="18"/>
      <x:c r="C113" s="18"/>
      <x:c r="D113" s="18"/>
      <x:c r="E113" s="19"/>
      <x:c r="F113" s="19"/>
      <x:c r="G113" s="19"/>
      <x:c r="H113" s="14" t="str">
        <x:f>IF(OR(E113="",G113=""),"",E113*G113)</x:f>
      </x:c>
      <x:c r="I113" s="22"/>
    </x:row>
    <x:row r="114" ht="19.5" customHeight="1">
      <x:c r="A114" s="18"/>
      <x:c r="B114" s="18"/>
      <x:c r="C114" s="18"/>
      <x:c r="D114" s="18"/>
      <x:c r="E114" s="19"/>
      <x:c r="F114" s="19"/>
      <x:c r="G114" s="19"/>
      <x:c r="H114" s="14" t="str">
        <x:f>IF(OR(E114="",G114=""),"",E114*G114)</x:f>
      </x:c>
      <x:c r="I114" s="22"/>
    </x:row>
    <x:row r="115" ht="19.5" customHeight="1">
      <x:c r="A115" s="18"/>
      <x:c r="B115" s="18"/>
      <x:c r="C115" s="18"/>
      <x:c r="D115" s="18"/>
      <x:c r="E115" s="19"/>
      <x:c r="F115" s="19"/>
      <x:c r="G115" s="19"/>
      <x:c r="H115" s="14" t="str">
        <x:f>IF(OR(E115="",G115=""),"",E115*G115)</x:f>
      </x:c>
      <x:c r="I115" s="22"/>
    </x:row>
    <x:row r="116" ht="19.5" customHeight="1">
      <x:c r="A116" s="18"/>
      <x:c r="B116" s="18"/>
      <x:c r="C116" s="18"/>
      <x:c r="D116" s="18"/>
      <x:c r="E116" s="19"/>
      <x:c r="F116" s="19"/>
      <x:c r="G116" s="19"/>
      <x:c r="H116" s="14" t="str">
        <x:f>IF(OR(E116="",G116=""),"",E116*G116)</x:f>
      </x:c>
      <x:c r="I116" s="22"/>
    </x:row>
    <x:row r="117" ht="19.5" customHeight="1">
      <x:c r="A117" s="18"/>
      <x:c r="B117" s="18"/>
      <x:c r="C117" s="18"/>
      <x:c r="D117" s="18"/>
      <x:c r="E117" s="19"/>
      <x:c r="F117" s="19"/>
      <x:c r="G117" s="19"/>
      <x:c r="H117" s="14" t="str">
        <x:f>IF(OR(E117="",G117=""),"",E117*G117)</x:f>
      </x:c>
      <x:c r="I117" s="22"/>
    </x:row>
    <x:row r="118" ht="19.5" customHeight="1">
      <x:c r="A118" s="18"/>
      <x:c r="B118" s="18"/>
      <x:c r="C118" s="18"/>
      <x:c r="D118" s="18"/>
      <x:c r="E118" s="19"/>
      <x:c r="F118" s="19"/>
      <x:c r="G118" s="19"/>
      <x:c r="H118" s="14" t="str">
        <x:f>IF(OR(E118="",G118=""),"",E118*G118)</x:f>
      </x:c>
      <x:c r="I118" s="22"/>
    </x:row>
    <x:row r="119" ht="19.5" customHeight="1">
      <x:c r="A119" s="18"/>
      <x:c r="B119" s="18"/>
      <x:c r="C119" s="18"/>
      <x:c r="D119" s="18"/>
      <x:c r="E119" s="19"/>
      <x:c r="F119" s="19"/>
      <x:c r="G119" s="19"/>
      <x:c r="H119" s="14" t="str">
        <x:f>IF(OR(E119="",G119=""),"",E119*G119)</x:f>
      </x:c>
      <x:c r="I119" s="22"/>
    </x:row>
    <x:row r="120" ht="19.5" customHeight="1">
      <x:c r="A120" s="18"/>
      <x:c r="B120" s="18"/>
      <x:c r="C120" s="18"/>
      <x:c r="D120" s="18"/>
      <x:c r="E120" s="19"/>
      <x:c r="F120" s="19"/>
      <x:c r="G120" s="19"/>
      <x:c r="H120" s="14" t="str">
        <x:f>IF(OR(E120="",G120=""),"",E120*G120)</x:f>
      </x:c>
      <x:c r="I120" s="22"/>
    </x:row>
    <x:row r="121" ht="19.5" customHeight="1">
      <x:c r="A121" s="18"/>
      <x:c r="B121" s="18"/>
      <x:c r="C121" s="18"/>
      <x:c r="D121" s="18"/>
      <x:c r="E121" s="19"/>
      <x:c r="F121" s="19"/>
      <x:c r="G121" s="19"/>
      <x:c r="H121" s="14" t="str">
        <x:f>IF(OR(E121="",G121=""),"",E121*G121)</x:f>
      </x:c>
      <x:c r="I121" s="22"/>
    </x:row>
    <x:row r="122" ht="19.5" customHeight="1">
      <x:c r="A122" s="18"/>
      <x:c r="B122" s="18"/>
      <x:c r="C122" s="18"/>
      <x:c r="D122" s="18"/>
      <x:c r="E122" s="19"/>
      <x:c r="F122" s="19"/>
      <x:c r="G122" s="19"/>
      <x:c r="H122" s="14" t="str">
        <x:f>IF(OR(E122="",G122=""),"",E122*G122)</x:f>
      </x:c>
      <x:c r="I122" s="22"/>
    </x:row>
    <x:row r="123" ht="19.5" customHeight="1">
      <x:c r="A123" s="18"/>
      <x:c r="B123" s="18"/>
      <x:c r="C123" s="18"/>
      <x:c r="D123" s="18"/>
      <x:c r="E123" s="19"/>
      <x:c r="F123" s="19"/>
      <x:c r="G123" s="19"/>
      <x:c r="H123" s="14" t="str">
        <x:f>IF(OR(E123="",G123=""),"",E123*G123)</x:f>
      </x:c>
      <x:c r="I123" s="22"/>
    </x:row>
    <x:row r="124" ht="19.5" customHeight="1">
      <x:c r="A124" s="18"/>
      <x:c r="B124" s="18"/>
      <x:c r="C124" s="18"/>
      <x:c r="D124" s="18"/>
      <x:c r="E124" s="19"/>
      <x:c r="F124" s="19"/>
      <x:c r="G124" s="19"/>
      <x:c r="H124" s="14" t="str">
        <x:f>IF(OR(E124="",G124=""),"",E124*G124)</x:f>
      </x:c>
      <x:c r="I124" s="22"/>
    </x:row>
    <x:row r="125" ht="19.5" customHeight="1">
      <x:c r="A125" s="18"/>
      <x:c r="B125" s="18"/>
      <x:c r="C125" s="18"/>
      <x:c r="D125" s="18"/>
      <x:c r="E125" s="19"/>
      <x:c r="F125" s="19"/>
      <x:c r="G125" s="19"/>
      <x:c r="H125" s="14" t="str">
        <x:f>IF(OR(E125="",G125=""),"",E125*G125)</x:f>
      </x:c>
      <x:c r="I125" s="22"/>
    </x:row>
    <x:row r="126" ht="19.5" customHeight="1">
      <x:c r="A126" s="18"/>
      <x:c r="B126" s="18"/>
      <x:c r="C126" s="18"/>
      <x:c r="D126" s="18"/>
      <x:c r="E126" s="19"/>
      <x:c r="F126" s="19"/>
      <x:c r="G126" s="19"/>
      <x:c r="H126" s="14" t="str">
        <x:f>IF(OR(E126="",G126=""),"",E126*G126)</x:f>
      </x:c>
      <x:c r="I126" s="22"/>
    </x:row>
    <x:row r="127" ht="19.5" customHeight="1">
      <x:c r="A127" s="18"/>
      <x:c r="B127" s="18"/>
      <x:c r="C127" s="18"/>
      <x:c r="D127" s="18"/>
      <x:c r="E127" s="19"/>
      <x:c r="F127" s="19"/>
      <x:c r="G127" s="19"/>
      <x:c r="H127" s="14" t="str">
        <x:f>IF(OR(E127="",G127=""),"",E127*G127)</x:f>
      </x:c>
      <x:c r="I127" s="22"/>
    </x:row>
    <x:row r="128" ht="19.5" customHeight="1">
      <x:c r="A128" s="18"/>
      <x:c r="B128" s="18"/>
      <x:c r="C128" s="18"/>
      <x:c r="D128" s="18"/>
      <x:c r="E128" s="19"/>
      <x:c r="F128" s="19"/>
      <x:c r="G128" s="19"/>
      <x:c r="H128" s="14" t="str">
        <x:f>IF(OR(E128="",G128=""),"",E128*G128)</x:f>
      </x:c>
      <x:c r="I128" s="22"/>
    </x:row>
    <x:row r="129" ht="19.5" customHeight="1">
      <x:c r="A129" s="18"/>
      <x:c r="B129" s="18"/>
      <x:c r="C129" s="18"/>
      <x:c r="D129" s="18"/>
      <x:c r="E129" s="19"/>
      <x:c r="F129" s="19"/>
      <x:c r="G129" s="19"/>
      <x:c r="H129" s="14" t="str">
        <x:f>IF(OR(E129="",G129=""),"",E129*G129)</x:f>
      </x:c>
      <x:c r="I129" s="22"/>
    </x:row>
    <x:row r="130" ht="19.5" customHeight="1">
      <x:c r="A130" s="18"/>
      <x:c r="B130" s="18"/>
      <x:c r="C130" s="18"/>
      <x:c r="D130" s="18"/>
      <x:c r="E130" s="19"/>
      <x:c r="F130" s="19"/>
      <x:c r="G130" s="19"/>
      <x:c r="H130" s="14" t="str">
        <x:f>IF(OR(E130="",G130=""),"",E130*G130)</x:f>
      </x:c>
      <x:c r="I130" s="22"/>
    </x:row>
    <x:row r="131" ht="19.5" customHeight="1">
      <x:c r="A131" s="18"/>
      <x:c r="B131" s="18"/>
      <x:c r="C131" s="18"/>
      <x:c r="D131" s="18"/>
      <x:c r="E131" s="19"/>
      <x:c r="F131" s="19"/>
      <x:c r="G131" s="19"/>
      <x:c r="H131" s="14" t="str">
        <x:f>IF(OR(E131="",G131=""),"",E131*G131)</x:f>
      </x:c>
      <x:c r="I131" s="22"/>
    </x:row>
    <x:row r="132" ht="19.5" customHeight="1">
      <x:c r="A132" s="18"/>
      <x:c r="B132" s="18"/>
      <x:c r="C132" s="18"/>
      <x:c r="D132" s="18"/>
      <x:c r="E132" s="19"/>
      <x:c r="F132" s="19"/>
      <x:c r="G132" s="19"/>
      <x:c r="H132" s="14" t="str">
        <x:f>IF(OR(E132="",G132=""),"",E132*G132)</x:f>
      </x:c>
      <x:c r="I132" s="22"/>
    </x:row>
    <x:row r="133" ht="19.5" customHeight="1">
      <x:c r="A133" s="18"/>
      <x:c r="B133" s="18"/>
      <x:c r="C133" s="18"/>
      <x:c r="D133" s="18"/>
      <x:c r="E133" s="19"/>
      <x:c r="F133" s="19"/>
      <x:c r="G133" s="19"/>
      <x:c r="H133" s="14" t="str">
        <x:f>IF(OR(E133="",G133=""),"",E133*G133)</x:f>
      </x:c>
      <x:c r="I133" s="22"/>
    </x:row>
    <x:row r="134" ht="19.5" customHeight="1">
      <x:c r="A134" s="18"/>
      <x:c r="B134" s="18"/>
      <x:c r="C134" s="18"/>
      <x:c r="D134" s="18"/>
      <x:c r="E134" s="19"/>
      <x:c r="F134" s="19"/>
      <x:c r="G134" s="19"/>
      <x:c r="H134" s="14" t="str">
        <x:f>IF(OR(E134="",G134=""),"",E134*G134)</x:f>
      </x:c>
      <x:c r="I134" s="22"/>
    </x:row>
    <x:row r="135" ht="19.5" customHeight="1">
      <x:c r="A135" s="18"/>
      <x:c r="B135" s="18"/>
      <x:c r="C135" s="18"/>
      <x:c r="D135" s="18"/>
      <x:c r="E135" s="19"/>
      <x:c r="F135" s="19"/>
      <x:c r="G135" s="19"/>
      <x:c r="H135" s="14" t="str">
        <x:f>IF(OR(E135="",G135=""),"",E135*G135)</x:f>
      </x:c>
      <x:c r="I135" s="22"/>
    </x:row>
    <x:row r="136" ht="19.5" customHeight="1">
      <x:c r="A136" s="18"/>
      <x:c r="B136" s="18"/>
      <x:c r="C136" s="18"/>
      <x:c r="D136" s="18"/>
      <x:c r="E136" s="19"/>
      <x:c r="F136" s="19"/>
      <x:c r="G136" s="19"/>
      <x:c r="H136" s="14" t="str">
        <x:f>IF(OR(E136="",G136=""),"",E136*G136)</x:f>
      </x:c>
      <x:c r="I136" s="22"/>
    </x:row>
    <x:row r="137" ht="19.5" customHeight="1">
      <x:c r="A137" s="18"/>
      <x:c r="B137" s="18"/>
      <x:c r="C137" s="18"/>
      <x:c r="D137" s="18"/>
      <x:c r="E137" s="19"/>
      <x:c r="F137" s="19"/>
      <x:c r="G137" s="19"/>
      <x:c r="H137" s="14" t="str">
        <x:f>IF(OR(E137="",G137=""),"",E137*G137)</x:f>
      </x:c>
      <x:c r="I137" s="22"/>
    </x:row>
    <x:row r="138" ht="19.5" customHeight="1">
      <x:c r="A138" s="18"/>
      <x:c r="B138" s="18"/>
      <x:c r="C138" s="18"/>
      <x:c r="D138" s="18"/>
      <x:c r="E138" s="19"/>
      <x:c r="F138" s="19"/>
      <x:c r="G138" s="19"/>
      <x:c r="H138" s="14" t="str">
        <x:f>IF(OR(E138="",G138=""),"",E138*G138)</x:f>
      </x:c>
      <x:c r="I138" s="22"/>
    </x:row>
    <x:row r="139" ht="19.5" customHeight="1">
      <x:c r="A139" s="18"/>
      <x:c r="B139" s="18"/>
      <x:c r="C139" s="18"/>
      <x:c r="D139" s="18"/>
      <x:c r="E139" s="19"/>
      <x:c r="F139" s="19"/>
      <x:c r="G139" s="19"/>
      <x:c r="H139" s="14" t="str">
        <x:f>IF(OR(E139="",G139=""),"",E139*G139)</x:f>
      </x:c>
      <x:c r="I139" s="22"/>
    </x:row>
    <x:row r="140" ht="19.5" customHeight="1">
      <x:c r="A140" s="18"/>
      <x:c r="B140" s="18"/>
      <x:c r="C140" s="18"/>
      <x:c r="D140" s="18"/>
      <x:c r="E140" s="19"/>
      <x:c r="F140" s="19"/>
      <x:c r="G140" s="19"/>
      <x:c r="H140" s="14" t="str">
        <x:f>IF(OR(E140="",G140=""),"",E140*G140)</x:f>
      </x:c>
      <x:c r="I140" s="22"/>
    </x:row>
    <x:row r="141" ht="19.5" customHeight="1">
      <x:c r="A141" s="18"/>
      <x:c r="B141" s="18"/>
      <x:c r="C141" s="18"/>
      <x:c r="D141" s="18"/>
      <x:c r="E141" s="19"/>
      <x:c r="F141" s="19"/>
      <x:c r="G141" s="19"/>
      <x:c r="H141" s="14" t="str">
        <x:f>IF(OR(E141="",G141=""),"",E141*G141)</x:f>
      </x:c>
      <x:c r="I141" s="22"/>
    </x:row>
    <x:row r="142" ht="19.5" customHeight="1">
      <x:c r="A142" s="18"/>
      <x:c r="B142" s="18"/>
      <x:c r="C142" s="18"/>
      <x:c r="D142" s="18"/>
      <x:c r="E142" s="19"/>
      <x:c r="F142" s="19"/>
      <x:c r="G142" s="19"/>
      <x:c r="H142" s="14" t="str">
        <x:f>IF(OR(E142="",G142=""),"",E142*G142)</x:f>
      </x:c>
      <x:c r="I142" s="22"/>
    </x:row>
    <x:row r="143" ht="19.5" customHeight="1">
      <x:c r="A143" s="18"/>
      <x:c r="B143" s="18"/>
      <x:c r="C143" s="18"/>
      <x:c r="D143" s="18"/>
      <x:c r="E143" s="19"/>
      <x:c r="F143" s="19"/>
      <x:c r="G143" s="19"/>
      <x:c r="H143" s="14" t="str">
        <x:f>IF(OR(E143="",G143=""),"",E143*G143)</x:f>
      </x:c>
      <x:c r="I143" s="22"/>
    </x:row>
    <x:row r="144" ht="19.5" customHeight="1">
      <x:c r="A144" s="18"/>
      <x:c r="B144" s="18"/>
      <x:c r="C144" s="18"/>
      <x:c r="D144" s="18"/>
      <x:c r="E144" s="19"/>
      <x:c r="F144" s="19"/>
      <x:c r="G144" s="19"/>
      <x:c r="H144" s="14" t="str">
        <x:f>IF(OR(E144="",G144=""),"",E144*G144)</x:f>
      </x:c>
      <x:c r="I144" s="22"/>
    </x:row>
    <x:row r="145" ht="19.5" customHeight="1">
      <x:c r="A145" s="18"/>
      <x:c r="B145" s="18"/>
      <x:c r="C145" s="18"/>
      <x:c r="D145" s="18"/>
      <x:c r="E145" s="19"/>
      <x:c r="F145" s="19"/>
      <x:c r="G145" s="19"/>
      <x:c r="H145" s="14" t="str">
        <x:f>IF(OR(E145="",G145=""),"",E145*G145)</x:f>
      </x:c>
      <x:c r="I145" s="22"/>
    </x:row>
    <x:row r="146" ht="19.5" customHeight="1">
      <x:c r="A146" s="18"/>
      <x:c r="B146" s="18"/>
      <x:c r="C146" s="18"/>
      <x:c r="D146" s="18"/>
      <x:c r="E146" s="19"/>
      <x:c r="F146" s="19"/>
      <x:c r="G146" s="19"/>
      <x:c r="H146" s="14" t="str">
        <x:f>IF(OR(E146="",G146=""),"",E146*G146)</x:f>
      </x:c>
      <x:c r="I146" s="22"/>
    </x:row>
    <x:row r="147" ht="19.5" customHeight="1">
      <x:c r="A147" s="18"/>
      <x:c r="B147" s="18"/>
      <x:c r="C147" s="18"/>
      <x:c r="D147" s="18"/>
      <x:c r="E147" s="19"/>
      <x:c r="F147" s="19"/>
      <x:c r="G147" s="19"/>
      <x:c r="H147" s="14" t="str">
        <x:f>IF(OR(E147="",G147=""),"",E147*G147)</x:f>
      </x:c>
      <x:c r="I147" s="22"/>
    </x:row>
    <x:row r="148" ht="19.5" customHeight="1">
      <x:c r="A148" s="18"/>
      <x:c r="B148" s="18"/>
      <x:c r="C148" s="18"/>
      <x:c r="D148" s="18"/>
      <x:c r="E148" s="19"/>
      <x:c r="F148" s="19"/>
      <x:c r="G148" s="19"/>
      <x:c r="H148" s="14" t="str">
        <x:f>IF(OR(E148="",G148=""),"",E148*G148)</x:f>
      </x:c>
      <x:c r="I148" s="22"/>
    </x:row>
    <x:row r="149" ht="19.5" customHeight="1">
      <x:c r="A149" s="18"/>
      <x:c r="B149" s="18"/>
      <x:c r="C149" s="18"/>
      <x:c r="D149" s="18"/>
      <x:c r="E149" s="19"/>
      <x:c r="F149" s="19"/>
      <x:c r="G149" s="19"/>
      <x:c r="H149" s="14" t="str">
        <x:f>IF(OR(E149="",G149=""),"",E149*G149)</x:f>
      </x:c>
      <x:c r="I149" s="22"/>
    </x:row>
    <x:row r="150" ht="19.5" customHeight="1">
      <x:c r="A150" s="18"/>
      <x:c r="B150" s="18"/>
      <x:c r="C150" s="18"/>
      <x:c r="D150" s="18"/>
      <x:c r="E150" s="19"/>
      <x:c r="F150" s="19"/>
      <x:c r="G150" s="19"/>
      <x:c r="H150" s="14" t="str">
        <x:f>IF(OR(E150="",G150=""),"",E150*G150)</x:f>
      </x:c>
      <x:c r="I150" s="22"/>
    </x:row>
    <x:row r="151" ht="19.5" customHeight="1">
      <x:c r="A151" s="18"/>
      <x:c r="B151" s="18"/>
      <x:c r="C151" s="18"/>
      <x:c r="D151" s="18"/>
      <x:c r="E151" s="19"/>
      <x:c r="F151" s="19"/>
      <x:c r="G151" s="19"/>
      <x:c r="H151" s="14" t="str">
        <x:f>IF(OR(E151="",G151=""),"",E151*G151)</x:f>
      </x:c>
      <x:c r="I151" s="22"/>
    </x:row>
    <x:row r="152" ht="19.5" customHeight="1">
      <x:c r="A152" s="18"/>
      <x:c r="B152" s="18"/>
      <x:c r="C152" s="18"/>
      <x:c r="D152" s="18"/>
      <x:c r="E152" s="19"/>
      <x:c r="F152" s="19"/>
      <x:c r="G152" s="19"/>
      <x:c r="H152" s="14" t="str">
        <x:f>IF(OR(E152="",G152=""),"",E152*G152)</x:f>
      </x:c>
      <x:c r="I152" s="22"/>
    </x:row>
    <x:row r="153" ht="19.5" customHeight="1">
      <x:c r="A153" s="18"/>
      <x:c r="B153" s="18"/>
      <x:c r="C153" s="18"/>
      <x:c r="D153" s="18"/>
      <x:c r="E153" s="19"/>
      <x:c r="F153" s="19"/>
      <x:c r="G153" s="19"/>
      <x:c r="H153" s="14" t="str">
        <x:f>IF(OR(E153="",G153=""),"",E153*G153)</x:f>
      </x:c>
      <x:c r="I153" s="22"/>
    </x:row>
    <x:row r="154" ht="19.5" customHeight="1">
      <x:c r="A154" s="18"/>
      <x:c r="B154" s="18"/>
      <x:c r="C154" s="18"/>
      <x:c r="D154" s="18"/>
      <x:c r="E154" s="19"/>
      <x:c r="F154" s="19"/>
      <x:c r="G154" s="19"/>
      <x:c r="H154" s="14" t="str">
        <x:f>IF(OR(E154="",G154=""),"",E154*G154)</x:f>
      </x:c>
      <x:c r="I154" s="22"/>
    </x:row>
    <x:row r="155" ht="19.5" customHeight="1">
      <x:c r="A155" s="18"/>
      <x:c r="B155" s="18"/>
      <x:c r="C155" s="18"/>
      <x:c r="D155" s="18"/>
      <x:c r="E155" s="19"/>
      <x:c r="F155" s="19"/>
      <x:c r="G155" s="19"/>
      <x:c r="H155" s="14" t="str">
        <x:f>IF(OR(E155="",G155=""),"",E155*G155)</x:f>
      </x:c>
      <x:c r="I155" s="22"/>
    </x:row>
    <x:row r="156" ht="19.5" customHeight="1">
      <x:c r="A156" s="18"/>
      <x:c r="B156" s="18"/>
      <x:c r="C156" s="18"/>
      <x:c r="D156" s="18"/>
      <x:c r="E156" s="19"/>
      <x:c r="F156" s="19"/>
      <x:c r="G156" s="19"/>
      <x:c r="H156" s="14" t="str">
        <x:f>IF(OR(E156="",G156=""),"",E156*G156)</x:f>
      </x:c>
      <x:c r="I156" s="22"/>
    </x:row>
    <x:row r="157" ht="19.5" customHeight="1">
      <x:c r="A157" s="18"/>
      <x:c r="B157" s="18"/>
      <x:c r="C157" s="18"/>
      <x:c r="D157" s="18"/>
      <x:c r="E157" s="19"/>
      <x:c r="F157" s="19"/>
      <x:c r="G157" s="19"/>
      <x:c r="H157" s="14" t="str">
        <x:f>IF(OR(E157="",G157=""),"",E157*G157)</x:f>
      </x:c>
      <x:c r="I157" s="22"/>
    </x:row>
    <x:row r="158" ht="19.5" customHeight="1">
      <x:c r="A158" s="18"/>
      <x:c r="B158" s="18"/>
      <x:c r="C158" s="18"/>
      <x:c r="D158" s="18"/>
      <x:c r="E158" s="19"/>
      <x:c r="F158" s="19"/>
      <x:c r="G158" s="19"/>
      <x:c r="H158" s="14" t="str">
        <x:f>IF(OR(E158="",G158=""),"",E158*G158)</x:f>
      </x:c>
      <x:c r="I158" s="22"/>
    </x:row>
    <x:row r="159" ht="19.5" customHeight="1">
      <x:c r="A159" s="18"/>
      <x:c r="B159" s="18"/>
      <x:c r="C159" s="18"/>
      <x:c r="D159" s="18"/>
      <x:c r="E159" s="19"/>
      <x:c r="F159" s="19"/>
      <x:c r="G159" s="19"/>
      <x:c r="H159" s="14" t="str">
        <x:f>IF(OR(E159="",G159=""),"",E159*G159)</x:f>
      </x:c>
      <x:c r="I159" s="22"/>
    </x:row>
    <x:row r="160" ht="19.5" customHeight="1">
      <x:c r="A160" s="18"/>
      <x:c r="B160" s="18"/>
      <x:c r="C160" s="18"/>
      <x:c r="D160" s="18"/>
      <x:c r="E160" s="19"/>
      <x:c r="F160" s="19"/>
      <x:c r="G160" s="19"/>
      <x:c r="H160" s="14" t="str">
        <x:f>IF(OR(E160="",G160=""),"",E160*G160)</x:f>
      </x:c>
      <x:c r="I160" s="22"/>
    </x:row>
    <x:row r="161" ht="19.5" customHeight="1">
      <x:c r="A161" s="18"/>
      <x:c r="B161" s="18"/>
      <x:c r="C161" s="18"/>
      <x:c r="D161" s="18"/>
      <x:c r="E161" s="19"/>
      <x:c r="F161" s="19"/>
      <x:c r="G161" s="19"/>
      <x:c r="H161" s="14" t="str">
        <x:f>IF(OR(E161="",G161=""),"",E161*G161)</x:f>
      </x:c>
      <x:c r="I161" s="22"/>
    </x:row>
    <x:row r="162" ht="19.5" customHeight="1">
      <x:c r="A162" s="18"/>
      <x:c r="B162" s="18"/>
      <x:c r="C162" s="18"/>
      <x:c r="D162" s="18"/>
      <x:c r="E162" s="19"/>
      <x:c r="F162" s="19"/>
      <x:c r="G162" s="19"/>
      <x:c r="H162" s="14" t="str">
        <x:f>IF(OR(E162="",G162=""),"",E162*G162)</x:f>
      </x:c>
      <x:c r="I162" s="22"/>
    </x:row>
    <x:row r="163" ht="19.5" customHeight="1">
      <x:c r="A163" s="18"/>
      <x:c r="B163" s="18"/>
      <x:c r="C163" s="18"/>
      <x:c r="D163" s="18"/>
      <x:c r="E163" s="19"/>
      <x:c r="F163" s="19"/>
      <x:c r="G163" s="19"/>
      <x:c r="H163" s="14" t="str">
        <x:f>IF(OR(E163="",G163=""),"",E163*G163)</x:f>
      </x:c>
      <x:c r="I163" s="22"/>
    </x:row>
    <x:row r="164" ht="19.5" customHeight="1">
      <x:c r="A164" s="18"/>
      <x:c r="B164" s="18"/>
      <x:c r="C164" s="18"/>
      <x:c r="D164" s="18"/>
      <x:c r="E164" s="19"/>
      <x:c r="F164" s="19"/>
      <x:c r="G164" s="19"/>
      <x:c r="H164" s="14" t="str">
        <x:f>IF(OR(E164="",G164=""),"",E164*G164)</x:f>
      </x:c>
      <x:c r="I164" s="22"/>
    </x:row>
    <x:row r="165" ht="19.5" customHeight="1">
      <x:c r="A165" s="18"/>
      <x:c r="B165" s="18"/>
      <x:c r="C165" s="18"/>
      <x:c r="D165" s="18"/>
      <x:c r="E165" s="19"/>
      <x:c r="F165" s="19"/>
      <x:c r="G165" s="19"/>
      <x:c r="H165" s="14" t="str">
        <x:f>IF(OR(E165="",G165=""),"",E165*G165)</x:f>
      </x:c>
      <x:c r="I165" s="22"/>
    </x:row>
    <x:row r="166" ht="19.5" customHeight="1">
      <x:c r="A166" s="18"/>
      <x:c r="B166" s="18"/>
      <x:c r="C166" s="18"/>
      <x:c r="D166" s="18"/>
      <x:c r="E166" s="19"/>
      <x:c r="F166" s="19"/>
      <x:c r="G166" s="19"/>
      <x:c r="H166" s="14" t="str">
        <x:f>IF(OR(E166="",G166=""),"",E166*G166)</x:f>
      </x:c>
      <x:c r="I166" s="22"/>
    </x:row>
    <x:row r="167" ht="19.5" customHeight="1">
      <x:c r="A167" s="18"/>
      <x:c r="B167" s="18"/>
      <x:c r="C167" s="18"/>
      <x:c r="D167" s="18"/>
      <x:c r="E167" s="19"/>
      <x:c r="F167" s="19"/>
      <x:c r="G167" s="19"/>
      <x:c r="H167" s="14" t="str">
        <x:f>IF(OR(E167="",G167=""),"",E167*G167)</x:f>
      </x:c>
      <x:c r="I167" s="22"/>
    </x:row>
    <x:row r="168" ht="19.5" customHeight="1">
      <x:c r="A168" s="18"/>
      <x:c r="B168" s="18"/>
      <x:c r="C168" s="18"/>
      <x:c r="D168" s="18"/>
      <x:c r="E168" s="19"/>
      <x:c r="F168" s="19"/>
      <x:c r="G168" s="19"/>
      <x:c r="H168" s="14" t="str">
        <x:f>IF(OR(E168="",G168=""),"",E168*G168)</x:f>
      </x:c>
      <x:c r="I168" s="22"/>
    </x:row>
    <x:row r="169" ht="19.5" customHeight="1">
      <x:c r="A169" s="18"/>
      <x:c r="B169" s="18"/>
      <x:c r="C169" s="18"/>
      <x:c r="D169" s="18"/>
      <x:c r="E169" s="19"/>
      <x:c r="F169" s="19"/>
      <x:c r="G169" s="19"/>
      <x:c r="H169" s="14" t="str">
        <x:f>IF(OR(E169="",G169=""),"",E169*G169)</x:f>
      </x:c>
      <x:c r="I169" s="22"/>
    </x:row>
    <x:row r="170" ht="19.5" customHeight="1">
      <x:c r="A170" s="18"/>
      <x:c r="B170" s="18"/>
      <x:c r="C170" s="18"/>
      <x:c r="D170" s="18"/>
      <x:c r="E170" s="19"/>
      <x:c r="F170" s="19"/>
      <x:c r="G170" s="19"/>
      <x:c r="H170" s="14" t="str">
        <x:f>IF(OR(E170="",G170=""),"",E170*G170)</x:f>
      </x:c>
      <x:c r="I170" s="22"/>
    </x:row>
    <x:row r="171" ht="19.5" customHeight="1">
      <x:c r="A171" s="18"/>
      <x:c r="B171" s="18"/>
      <x:c r="C171" s="18"/>
      <x:c r="D171" s="18"/>
      <x:c r="E171" s="19"/>
      <x:c r="F171" s="19"/>
      <x:c r="G171" s="19"/>
      <x:c r="H171" s="14" t="str">
        <x:f>IF(OR(E171="",G171=""),"",E171*G171)</x:f>
      </x:c>
      <x:c r="I171" s="22"/>
    </x:row>
    <x:row r="172" ht="19.5" customHeight="1">
      <x:c r="A172" s="18"/>
      <x:c r="B172" s="18"/>
      <x:c r="C172" s="18"/>
      <x:c r="D172" s="18"/>
      <x:c r="E172" s="19"/>
      <x:c r="F172" s="19"/>
      <x:c r="G172" s="19"/>
      <x:c r="H172" s="14" t="str">
        <x:f>IF(OR(E172="",G172=""),"",E172*G172)</x:f>
      </x:c>
      <x:c r="I172" s="22"/>
    </x:row>
    <x:row r="173" ht="19.5" customHeight="1">
      <x:c r="A173" s="18"/>
      <x:c r="B173" s="18"/>
      <x:c r="C173" s="18"/>
      <x:c r="D173" s="18"/>
      <x:c r="E173" s="19"/>
      <x:c r="F173" s="19"/>
      <x:c r="G173" s="19"/>
      <x:c r="H173" s="14" t="str">
        <x:f>IF(OR(E173="",G173=""),"",E173*G173)</x:f>
      </x:c>
      <x:c r="I173" s="22"/>
    </x:row>
    <x:row r="174" ht="19.5" customHeight="1">
      <x:c r="A174" s="18"/>
      <x:c r="B174" s="18"/>
      <x:c r="C174" s="18"/>
      <x:c r="D174" s="18"/>
      <x:c r="E174" s="19"/>
      <x:c r="F174" s="19"/>
      <x:c r="G174" s="19"/>
      <x:c r="H174" s="14" t="str">
        <x:f>IF(OR(E174="",G174=""),"",E174*G174)</x:f>
      </x:c>
      <x:c r="I174" s="22"/>
    </x:row>
    <x:row r="175" ht="19.5" customHeight="1">
      <x:c r="A175" s="18"/>
      <x:c r="B175" s="18"/>
      <x:c r="C175" s="18"/>
      <x:c r="D175" s="18"/>
      <x:c r="E175" s="19"/>
      <x:c r="F175" s="19"/>
      <x:c r="G175" s="19"/>
      <x:c r="H175" s="14" t="str">
        <x:f>IF(OR(E175="",G175=""),"",E175*G175)</x:f>
      </x:c>
      <x:c r="I175" s="22"/>
    </x:row>
    <x:row r="176" ht="19.5" customHeight="1">
      <x:c r="A176" s="18"/>
      <x:c r="B176" s="18"/>
      <x:c r="C176" s="18"/>
      <x:c r="D176" s="18"/>
      <x:c r="E176" s="19"/>
      <x:c r="F176" s="19"/>
      <x:c r="G176" s="19"/>
      <x:c r="H176" s="14" t="str">
        <x:f>IF(OR(E176="",G176=""),"",E176*G176)</x:f>
      </x:c>
      <x:c r="I176" s="22"/>
    </x:row>
    <x:row r="177" ht="19.5" customHeight="1">
      <x:c r="A177" s="18"/>
      <x:c r="B177" s="18"/>
      <x:c r="C177" s="18"/>
      <x:c r="D177" s="18"/>
      <x:c r="E177" s="19"/>
      <x:c r="F177" s="19"/>
      <x:c r="G177" s="19"/>
      <x:c r="H177" s="14" t="str">
        <x:f>IF(OR(E177="",G177=""),"",E177*G177)</x:f>
      </x:c>
      <x:c r="I177" s="22"/>
    </x:row>
    <x:row r="178" ht="19.5" customHeight="1">
      <x:c r="A178" s="18"/>
      <x:c r="B178" s="18"/>
      <x:c r="C178" s="18"/>
      <x:c r="D178" s="18"/>
      <x:c r="E178" s="19"/>
      <x:c r="F178" s="19"/>
      <x:c r="G178" s="19"/>
      <x:c r="H178" s="14" t="str">
        <x:f>IF(OR(E178="",G178=""),"",E178*G178)</x:f>
      </x:c>
      <x:c r="I178" s="22"/>
    </x:row>
    <x:row r="179" ht="19.5" customHeight="1">
      <x:c r="A179" s="18"/>
      <x:c r="B179" s="18"/>
      <x:c r="C179" s="18"/>
      <x:c r="D179" s="18"/>
      <x:c r="E179" s="19"/>
      <x:c r="F179" s="19"/>
      <x:c r="G179" s="19"/>
      <x:c r="H179" s="14" t="str">
        <x:f>IF(OR(E179="",G179=""),"",E179*G179)</x:f>
      </x:c>
      <x:c r="I179" s="22"/>
    </x:row>
    <x:row r="180" ht="19.5" customHeight="1">
      <x:c r="A180" s="18"/>
      <x:c r="B180" s="18"/>
      <x:c r="C180" s="18"/>
      <x:c r="D180" s="18"/>
      <x:c r="E180" s="19"/>
      <x:c r="F180" s="19"/>
      <x:c r="G180" s="19"/>
      <x:c r="H180" s="14" t="str">
        <x:f>IF(OR(E180="",G180=""),"",E180*G180)</x:f>
      </x:c>
      <x:c r="I180" s="22"/>
    </x:row>
    <x:row r="181" ht="19.5" customHeight="1">
      <x:c r="A181" s="18"/>
      <x:c r="B181" s="18"/>
      <x:c r="C181" s="18"/>
      <x:c r="D181" s="18"/>
      <x:c r="E181" s="19"/>
      <x:c r="F181" s="19"/>
      <x:c r="G181" s="19"/>
      <x:c r="H181" s="14" t="str">
        <x:f>IF(OR(E181="",G181=""),"",E181*G181)</x:f>
      </x:c>
      <x:c r="I181" s="22"/>
    </x:row>
    <x:row r="182" ht="19.5" customHeight="1">
      <x:c r="A182" s="18"/>
      <x:c r="B182" s="18"/>
      <x:c r="C182" s="18"/>
      <x:c r="D182" s="18"/>
      <x:c r="E182" s="19"/>
      <x:c r="F182" s="19"/>
      <x:c r="G182" s="19"/>
      <x:c r="H182" s="14" t="str">
        <x:f>IF(OR(E182="",G182=""),"",E182*G182)</x:f>
      </x:c>
      <x:c r="I182" s="22"/>
    </x:row>
    <x:row r="183" ht="19.5" customHeight="1">
      <x:c r="A183" s="18"/>
      <x:c r="B183" s="18"/>
      <x:c r="C183" s="18"/>
      <x:c r="D183" s="18"/>
      <x:c r="E183" s="19"/>
      <x:c r="F183" s="19"/>
      <x:c r="G183" s="19"/>
      <x:c r="H183" s="14" t="str">
        <x:f>IF(OR(E183="",G183=""),"",E183*G183)</x:f>
      </x:c>
      <x:c r="I183" s="22"/>
    </x:row>
    <x:row r="184" ht="19.5" customHeight="1">
      <x:c r="A184" s="18"/>
      <x:c r="B184" s="18"/>
      <x:c r="C184" s="18"/>
      <x:c r="D184" s="18"/>
      <x:c r="E184" s="19"/>
      <x:c r="F184" s="19"/>
      <x:c r="G184" s="19"/>
      <x:c r="H184" s="14" t="str">
        <x:f>IF(OR(E184="",G184=""),"",E184*G184)</x:f>
      </x:c>
      <x:c r="I184" s="22"/>
    </x:row>
    <x:row r="185" ht="19.5" customHeight="1">
      <x:c r="A185" s="18"/>
      <x:c r="B185" s="18"/>
      <x:c r="C185" s="18"/>
      <x:c r="D185" s="18"/>
      <x:c r="E185" s="19"/>
      <x:c r="F185" s="19"/>
      <x:c r="G185" s="19"/>
      <x:c r="H185" s="14" t="str">
        <x:f>IF(OR(E185="",G185=""),"",E185*G185)</x:f>
      </x:c>
      <x:c r="I185" s="22"/>
    </x:row>
    <x:row r="186" ht="19.5" customHeight="1">
      <x:c r="A186" s="18"/>
      <x:c r="B186" s="18"/>
      <x:c r="C186" s="18"/>
      <x:c r="D186" s="18"/>
      <x:c r="E186" s="19"/>
      <x:c r="F186" s="19"/>
      <x:c r="G186" s="19"/>
      <x:c r="H186" s="14" t="str">
        <x:f>IF(OR(E186="",G186=""),"",E186*G186)</x:f>
      </x:c>
      <x:c r="I186" s="22"/>
    </x:row>
    <x:row r="187" ht="19.5" customHeight="1">
      <x:c r="A187" s="18"/>
      <x:c r="B187" s="18"/>
      <x:c r="C187" s="18"/>
      <x:c r="D187" s="18"/>
      <x:c r="E187" s="19"/>
      <x:c r="F187" s="19"/>
      <x:c r="G187" s="19"/>
      <x:c r="H187" s="14" t="str">
        <x:f>IF(OR(E187="",G187=""),"",E187*G187)</x:f>
      </x:c>
      <x:c r="I187" s="22"/>
    </x:row>
    <x:row r="188" ht="19.5" customHeight="1">
      <x:c r="A188" s="18"/>
      <x:c r="B188" s="18"/>
      <x:c r="C188" s="18"/>
      <x:c r="D188" s="18"/>
      <x:c r="E188" s="19"/>
      <x:c r="F188" s="19"/>
      <x:c r="G188" s="19"/>
      <x:c r="H188" s="14" t="str">
        <x:f>IF(OR(E188="",G188=""),"",E188*G188)</x:f>
      </x:c>
      <x:c r="I188" s="22"/>
    </x:row>
    <x:row r="189" ht="19.5" customHeight="1">
      <x:c r="A189" s="18"/>
      <x:c r="B189" s="18"/>
      <x:c r="C189" s="18"/>
      <x:c r="D189" s="18"/>
      <x:c r="E189" s="19"/>
      <x:c r="F189" s="19"/>
      <x:c r="G189" s="19"/>
      <x:c r="H189" s="14" t="str">
        <x:f>IF(OR(E189="",G189=""),"",E189*G189)</x:f>
      </x:c>
      <x:c r="I189" s="22"/>
    </x:row>
    <x:row r="190" ht="19.5" customHeight="1">
      <x:c r="A190" s="18"/>
      <x:c r="B190" s="18"/>
      <x:c r="C190" s="18"/>
      <x:c r="D190" s="18"/>
      <x:c r="E190" s="19"/>
      <x:c r="F190" s="19"/>
      <x:c r="G190" s="19"/>
      <x:c r="H190" s="14" t="str">
        <x:f>IF(OR(E190="",G190=""),"",E190*G190)</x:f>
      </x:c>
      <x:c r="I190" s="22"/>
    </x:row>
    <x:row r="191" ht="19.5" customHeight="1">
      <x:c r="A191" s="18"/>
      <x:c r="B191" s="18"/>
      <x:c r="C191" s="18"/>
      <x:c r="D191" s="18"/>
      <x:c r="E191" s="19"/>
      <x:c r="F191" s="19"/>
      <x:c r="G191" s="19"/>
      <x:c r="H191" s="14" t="str">
        <x:f>IF(OR(E191="",G191=""),"",E191*G191)</x:f>
      </x:c>
      <x:c r="I191" s="22"/>
    </x:row>
    <x:row r="192" ht="19.5" customHeight="1">
      <x:c r="A192" s="18"/>
      <x:c r="B192" s="18"/>
      <x:c r="C192" s="18"/>
      <x:c r="D192" s="18"/>
      <x:c r="E192" s="19"/>
      <x:c r="F192" s="19"/>
      <x:c r="G192" s="19"/>
      <x:c r="H192" s="14" t="str">
        <x:f>IF(OR(E192="",G192=""),"",E192*G192)</x:f>
      </x:c>
      <x:c r="I192" s="22"/>
    </x:row>
    <x:row r="193" ht="19.5" customHeight="1">
      <x:c r="A193" s="18"/>
      <x:c r="B193" s="18"/>
      <x:c r="C193" s="18"/>
      <x:c r="D193" s="18"/>
      <x:c r="E193" s="19"/>
      <x:c r="F193" s="19"/>
      <x:c r="G193" s="19"/>
      <x:c r="H193" s="14" t="str">
        <x:f>IF(OR(E193="",G193=""),"",E193*G193)</x:f>
      </x:c>
      <x:c r="I193" s="22"/>
    </x:row>
    <x:row r="194" ht="19.5" customHeight="1">
      <x:c r="A194" s="18"/>
      <x:c r="B194" s="18"/>
      <x:c r="C194" s="18"/>
      <x:c r="D194" s="18"/>
      <x:c r="E194" s="19"/>
      <x:c r="F194" s="19"/>
      <x:c r="G194" s="19"/>
      <x:c r="H194" s="14" t="str">
        <x:f>IF(OR(E194="",G194=""),"",E194*G194)</x:f>
      </x:c>
      <x:c r="I194" s="22"/>
    </x:row>
    <x:row r="195" ht="19.5" customHeight="1">
      <x:c r="A195" s="18"/>
      <x:c r="B195" s="18"/>
      <x:c r="C195" s="18"/>
      <x:c r="D195" s="18"/>
      <x:c r="E195" s="19"/>
      <x:c r="F195" s="19"/>
      <x:c r="G195" s="19"/>
      <x:c r="H195" s="14" t="str">
        <x:f>IF(OR(E195="",G195=""),"",E195*G195)</x:f>
      </x:c>
      <x:c r="I195" s="22"/>
    </x:row>
    <x:row r="196" ht="19.5" customHeight="1">
      <x:c r="A196" s="18"/>
      <x:c r="B196" s="18"/>
      <x:c r="C196" s="18"/>
      <x:c r="D196" s="18"/>
      <x:c r="E196" s="19"/>
      <x:c r="F196" s="19"/>
      <x:c r="G196" s="19"/>
      <x:c r="H196" s="14" t="str">
        <x:f>IF(OR(E196="",G196=""),"",E196*G196)</x:f>
      </x:c>
      <x:c r="I196" s="22"/>
    </x:row>
    <x:row r="197" ht="19.5" customHeight="1">
      <x:c r="A197" s="18"/>
      <x:c r="B197" s="18"/>
      <x:c r="C197" s="18"/>
      <x:c r="D197" s="18"/>
      <x:c r="E197" s="19"/>
      <x:c r="F197" s="19"/>
      <x:c r="G197" s="19"/>
      <x:c r="H197" s="14" t="str">
        <x:f>IF(OR(E197="",G197=""),"",E197*G197)</x:f>
      </x:c>
      <x:c r="I197" s="22"/>
    </x:row>
    <x:row r="198" ht="19.5" customHeight="1">
      <x:c r="A198" s="18"/>
      <x:c r="B198" s="18"/>
      <x:c r="C198" s="18"/>
      <x:c r="D198" s="18"/>
      <x:c r="E198" s="19"/>
      <x:c r="F198" s="19"/>
      <x:c r="G198" s="19"/>
      <x:c r="H198" s="14" t="str">
        <x:f>IF(OR(E198="",G198=""),"",E198*G198)</x:f>
      </x:c>
      <x:c r="I198" s="22"/>
    </x:row>
    <x:row r="199" ht="19.5" customHeight="1">
      <x:c r="A199" s="18"/>
      <x:c r="B199" s="18"/>
      <x:c r="C199" s="18"/>
      <x:c r="D199" s="18"/>
      <x:c r="E199" s="19"/>
      <x:c r="F199" s="19"/>
      <x:c r="G199" s="19"/>
      <x:c r="H199" s="14" t="str">
        <x:f>IF(OR(E199="",G199=""),"",E199*G199)</x:f>
      </x:c>
      <x:c r="I199" s="22"/>
    </x:row>
    <x:row r="200" ht="19.5" customHeight="1">
      <x:c r="A200" s="18"/>
      <x:c r="B200" s="18"/>
      <x:c r="C200" s="18"/>
      <x:c r="D200" s="18"/>
      <x:c r="E200" s="19"/>
      <x:c r="F200" s="19"/>
      <x:c r="G200" s="19"/>
      <x:c r="H200" s="14" t="str">
        <x:f>IF(OR(E200="",G200=""),"",E200*G200)</x:f>
      </x:c>
      <x:c r="I200" s="22"/>
    </x:row>
    <x:row r="201" ht="19.5" customHeight="1">
      <x:c r="A201" s="18"/>
      <x:c r="B201" s="18"/>
      <x:c r="C201" s="18"/>
      <x:c r="D201" s="18"/>
      <x:c r="E201" s="19"/>
      <x:c r="F201" s="19"/>
      <x:c r="G201" s="19"/>
      <x:c r="H201" s="14" t="str">
        <x:f>IF(OR(E201="",G201=""),"",E201*G201)</x:f>
      </x:c>
      <x:c r="I201" s="22"/>
    </x:row>
    <x:row r="202" ht="19.5" customHeight="1">
      <x:c r="A202" s="18"/>
      <x:c r="B202" s="18"/>
      <x:c r="C202" s="18"/>
      <x:c r="D202" s="18"/>
      <x:c r="E202" s="19"/>
      <x:c r="F202" s="19"/>
      <x:c r="G202" s="19"/>
      <x:c r="H202" s="14" t="str">
        <x:f>IF(OR(E202="",G202=""),"",E202*G202)</x:f>
      </x:c>
      <x:c r="I202" s="22"/>
    </x:row>
    <x:row r="203" ht="19.5" customHeight="1">
      <x:c r="A203" s="18"/>
      <x:c r="B203" s="18"/>
      <x:c r="C203" s="18"/>
      <x:c r="D203" s="18"/>
      <x:c r="E203" s="19"/>
      <x:c r="F203" s="19"/>
      <x:c r="G203" s="19"/>
      <x:c r="H203" s="14" t="str">
        <x:f>IF(OR(E203="",G203=""),"",E203*G203)</x:f>
      </x:c>
      <x:c r="I203" s="22"/>
    </x:row>
    <x:row r="204" ht="19.5" customHeight="1">
      <x:c r="A204" s="18"/>
      <x:c r="B204" s="18"/>
      <x:c r="C204" s="18"/>
      <x:c r="D204" s="18"/>
      <x:c r="E204" s="19"/>
      <x:c r="F204" s="19"/>
      <x:c r="G204" s="19"/>
      <x:c r="H204" s="14" t="str">
        <x:f>IF(OR(E204="",G204=""),"",E204*G204)</x:f>
      </x:c>
      <x:c r="I204" s="22"/>
    </x:row>
    <x:row r="205" ht="19.5" customHeight="1">
      <x:c r="A205" s="18"/>
      <x:c r="B205" s="18"/>
      <x:c r="C205" s="18"/>
      <x:c r="D205" s="18"/>
      <x:c r="E205" s="19"/>
      <x:c r="F205" s="19"/>
      <x:c r="G205" s="19"/>
      <x:c r="H205" s="14" t="str">
        <x:f>IF(OR(E205="",G205=""),"",E205*G205)</x:f>
      </x:c>
      <x:c r="I205" s="22"/>
    </x:row>
    <x:row r="206" ht="19.5" customHeight="1">
      <x:c r="A206" s="18"/>
      <x:c r="B206" s="18"/>
      <x:c r="C206" s="18"/>
      <x:c r="D206" s="18"/>
      <x:c r="E206" s="19"/>
      <x:c r="F206" s="19"/>
      <x:c r="G206" s="19"/>
      <x:c r="H206" s="14" t="str">
        <x:f>IF(OR(E206="",G206=""),"",E206*G206)</x:f>
      </x:c>
      <x:c r="I206" s="22"/>
    </x:row>
    <x:row r="207" ht="19.5" customHeight="1">
      <x:c r="A207" s="18"/>
      <x:c r="B207" s="18"/>
      <x:c r="C207" s="18"/>
      <x:c r="D207" s="18"/>
      <x:c r="E207" s="19"/>
      <x:c r="F207" s="19"/>
      <x:c r="G207" s="19"/>
      <x:c r="H207" s="14" t="str">
        <x:f>IF(OR(E207="",G207=""),"",E207*G207)</x:f>
      </x:c>
      <x:c r="I207" s="22"/>
    </x:row>
    <x:row r="208" ht="19.5" customHeight="1">
      <x:c r="A208" s="18"/>
      <x:c r="B208" s="18"/>
      <x:c r="C208" s="18"/>
      <x:c r="D208" s="18"/>
      <x:c r="E208" s="19"/>
      <x:c r="F208" s="19"/>
      <x:c r="G208" s="19"/>
      <x:c r="H208" s="14" t="str">
        <x:f>IF(OR(E208="",G208=""),"",E208*G208)</x:f>
      </x:c>
      <x:c r="I208" s="22"/>
    </x:row>
    <x:row r="209" ht="19.5" customHeight="1">
      <x:c r="A209" s="18"/>
      <x:c r="B209" s="18"/>
      <x:c r="C209" s="18"/>
      <x:c r="D209" s="18"/>
      <x:c r="E209" s="19"/>
      <x:c r="F209" s="19"/>
      <x:c r="G209" s="19"/>
      <x:c r="H209" s="14" t="str">
        <x:f>IF(OR(E209="",G209=""),"",E209*G209)</x:f>
      </x:c>
      <x:c r="I209" s="22"/>
    </x:row>
    <x:row r="210" ht="19.5" customHeight="1">
      <x:c r="A210" s="18"/>
      <x:c r="B210" s="18"/>
      <x:c r="C210" s="18"/>
      <x:c r="D210" s="18"/>
      <x:c r="E210" s="19"/>
      <x:c r="F210" s="19"/>
      <x:c r="G210" s="19"/>
      <x:c r="H210" s="14" t="str">
        <x:f>IF(OR(E210="",G210=""),"",E210*G210)</x:f>
      </x:c>
      <x:c r="I210" s="22"/>
    </x:row>
    <x:row r="211" ht="19.5" customHeight="1">
      <x:c r="A211" s="18"/>
      <x:c r="B211" s="18"/>
      <x:c r="C211" s="18"/>
      <x:c r="D211" s="18"/>
      <x:c r="E211" s="19"/>
      <x:c r="F211" s="19"/>
      <x:c r="G211" s="19"/>
      <x:c r="H211" s="14" t="str">
        <x:f>IF(OR(E211="",G211=""),"",E211*G211)</x:f>
      </x:c>
      <x:c r="I211" s="22"/>
    </x:row>
    <x:row r="212" ht="19.5" customHeight="1">
      <x:c r="A212" s="18"/>
      <x:c r="B212" s="18"/>
      <x:c r="C212" s="18"/>
      <x:c r="D212" s="18"/>
      <x:c r="E212" s="19"/>
      <x:c r="F212" s="19"/>
      <x:c r="G212" s="19"/>
      <x:c r="H212" s="14" t="str">
        <x:f>IF(OR(E212="",G212=""),"",E212*G212)</x:f>
      </x:c>
      <x:c r="I212" s="22"/>
    </x:row>
    <x:row r="213" ht="19.5" customHeight="1">
      <x:c r="A213" s="18"/>
      <x:c r="B213" s="18"/>
      <x:c r="C213" s="18"/>
      <x:c r="D213" s="18"/>
      <x:c r="E213" s="19"/>
      <x:c r="F213" s="19"/>
      <x:c r="G213" s="19"/>
      <x:c r="H213" s="14" t="str">
        <x:f>IF(OR(E213="",G213=""),"",E213*G213)</x:f>
      </x:c>
      <x:c r="I213" s="22"/>
    </x:row>
    <x:row r="214" ht="19.5" customHeight="1">
      <x:c r="A214" s="18"/>
      <x:c r="B214" s="18"/>
      <x:c r="C214" s="18"/>
      <x:c r="D214" s="18"/>
      <x:c r="E214" s="19"/>
      <x:c r="F214" s="19"/>
      <x:c r="G214" s="19"/>
      <x:c r="H214" s="14" t="str">
        <x:f>IF(OR(E214="",G214=""),"",E214*G214)</x:f>
      </x:c>
      <x:c r="I214" s="22"/>
    </x:row>
    <x:row r="215" ht="19.5" customHeight="1">
      <x:c r="A215" s="18"/>
      <x:c r="B215" s="18"/>
      <x:c r="C215" s="18"/>
      <x:c r="D215" s="18"/>
      <x:c r="E215" s="19"/>
      <x:c r="F215" s="19"/>
      <x:c r="G215" s="19"/>
      <x:c r="H215" s="14" t="str">
        <x:f>IF(OR(E215="",G215=""),"",E215*G215)</x:f>
      </x:c>
      <x:c r="I215" s="22"/>
    </x:row>
    <x:row r="216" ht="19.5" customHeight="1">
      <x:c r="A216" s="18"/>
      <x:c r="B216" s="18"/>
      <x:c r="C216" s="18"/>
      <x:c r="D216" s="18"/>
      <x:c r="E216" s="19"/>
      <x:c r="F216" s="19"/>
      <x:c r="G216" s="19"/>
      <x:c r="H216" s="14" t="str">
        <x:f>IF(OR(E216="",G216=""),"",E216*G216)</x:f>
      </x:c>
      <x:c r="I216" s="22"/>
    </x:row>
    <x:row r="217" ht="19.5" customHeight="1">
      <x:c r="A217" s="18"/>
      <x:c r="B217" s="18"/>
      <x:c r="C217" s="18"/>
      <x:c r="D217" s="18"/>
      <x:c r="E217" s="19"/>
      <x:c r="F217" s="19"/>
      <x:c r="G217" s="19"/>
      <x:c r="H217" s="14" t="str">
        <x:f>IF(OR(E217="",G217=""),"",E217*G217)</x:f>
      </x:c>
      <x:c r="I217" s="22"/>
    </x:row>
    <x:row r="218" ht="19.5" customHeight="1">
      <x:c r="A218" s="18"/>
      <x:c r="B218" s="18"/>
      <x:c r="C218" s="18"/>
      <x:c r="D218" s="18"/>
      <x:c r="E218" s="19"/>
      <x:c r="F218" s="19"/>
      <x:c r="G218" s="19"/>
      <x:c r="H218" s="14" t="str">
        <x:f>IF(OR(E218="",G218=""),"",E218*G218)</x:f>
      </x:c>
      <x:c r="I218" s="22"/>
    </x:row>
    <x:row r="219" ht="19.5" customHeight="1">
      <x:c r="A219" s="18"/>
      <x:c r="B219" s="18"/>
      <x:c r="C219" s="18"/>
      <x:c r="D219" s="18"/>
      <x:c r="E219" s="19"/>
      <x:c r="F219" s="19"/>
      <x:c r="G219" s="19"/>
      <x:c r="H219" s="14" t="str">
        <x:f>IF(OR(E219="",G219=""),"",E219*G219)</x:f>
      </x:c>
      <x:c r="I219" s="22"/>
    </x:row>
    <x:row r="220" ht="19.5" customHeight="1">
      <x:c r="A220" s="18"/>
      <x:c r="B220" s="18"/>
      <x:c r="C220" s="18"/>
      <x:c r="D220" s="18"/>
      <x:c r="E220" s="19"/>
      <x:c r="F220" s="19"/>
      <x:c r="G220" s="19"/>
      <x:c r="H220" s="14" t="str">
        <x:f>IF(OR(E220="",G220=""),"",E220*G220)</x:f>
      </x:c>
      <x:c r="I220" s="22"/>
    </x:row>
    <x:row r="221" ht="19.5" customHeight="1">
      <x:c r="A221" s="18"/>
      <x:c r="B221" s="18"/>
      <x:c r="C221" s="18"/>
      <x:c r="D221" s="18"/>
      <x:c r="E221" s="19"/>
      <x:c r="F221" s="19"/>
      <x:c r="G221" s="19"/>
      <x:c r="H221" s="14" t="str">
        <x:f>IF(OR(E221="",G221=""),"",E221*G221)</x:f>
      </x:c>
      <x:c r="I221" s="22"/>
    </x:row>
    <x:row r="222" ht="19.5" customHeight="1">
      <x:c r="A222" s="18"/>
      <x:c r="B222" s="18"/>
      <x:c r="C222" s="18"/>
      <x:c r="D222" s="18"/>
      <x:c r="E222" s="19"/>
      <x:c r="F222" s="19"/>
      <x:c r="G222" s="19"/>
      <x:c r="H222" s="14" t="str">
        <x:f>IF(OR(E222="",G222=""),"",E222*G222)</x:f>
      </x:c>
      <x:c r="I222" s="22"/>
    </x:row>
    <x:row r="223" ht="19.5" customHeight="1">
      <x:c r="A223" s="18"/>
      <x:c r="B223" s="18"/>
      <x:c r="C223" s="18"/>
      <x:c r="D223" s="18"/>
      <x:c r="E223" s="19"/>
      <x:c r="F223" s="19"/>
      <x:c r="G223" s="19"/>
      <x:c r="H223" s="14" t="str">
        <x:f>IF(OR(E223="",G223=""),"",E223*G223)</x:f>
      </x:c>
      <x:c r="I223" s="22"/>
    </x:row>
    <x:row r="224" ht="19.5" customHeight="1">
      <x:c r="A224" s="18"/>
      <x:c r="B224" s="18"/>
      <x:c r="C224" s="18"/>
      <x:c r="D224" s="18"/>
      <x:c r="E224" s="19"/>
      <x:c r="F224" s="19"/>
      <x:c r="G224" s="19"/>
      <x:c r="H224" s="14" t="str">
        <x:f>IF(OR(E224="",G224=""),"",E224*G224)</x:f>
      </x:c>
      <x:c r="I224" s="22"/>
    </x:row>
    <x:row r="225" ht="19.5" customHeight="1">
      <x:c r="A225" s="18"/>
      <x:c r="B225" s="18"/>
      <x:c r="C225" s="18"/>
      <x:c r="D225" s="18"/>
      <x:c r="E225" s="19"/>
      <x:c r="F225" s="19"/>
      <x:c r="G225" s="19"/>
      <x:c r="H225" s="14" t="str">
        <x:f>IF(OR(E225="",G225=""),"",E225*G225)</x:f>
      </x:c>
      <x:c r="I225" s="22"/>
    </x:row>
    <x:row r="226" ht="19.5" customHeight="1">
      <x:c r="A226" s="18"/>
      <x:c r="B226" s="18"/>
      <x:c r="C226" s="18"/>
      <x:c r="D226" s="18"/>
      <x:c r="E226" s="19"/>
      <x:c r="F226" s="19"/>
      <x:c r="G226" s="19"/>
      <x:c r="H226" s="14" t="str">
        <x:f>IF(OR(E226="",G226=""),"",E226*G226)</x:f>
      </x:c>
      <x:c r="I226" s="22"/>
    </x:row>
    <x:row r="227" ht="19.5" customHeight="1">
      <x:c r="A227" s="18"/>
      <x:c r="B227" s="18"/>
      <x:c r="C227" s="18"/>
      <x:c r="D227" s="18"/>
      <x:c r="E227" s="19"/>
      <x:c r="F227" s="19"/>
      <x:c r="G227" s="19"/>
      <x:c r="H227" s="14" t="str">
        <x:f>IF(OR(E227="",G227=""),"",E227*G227)</x:f>
      </x:c>
      <x:c r="I227" s="22"/>
    </x:row>
    <x:row r="228" ht="19.5" customHeight="1">
      <x:c r="A228" s="18"/>
      <x:c r="B228" s="18"/>
      <x:c r="C228" s="18"/>
      <x:c r="D228" s="18"/>
      <x:c r="E228" s="19"/>
      <x:c r="F228" s="19"/>
      <x:c r="G228" s="19"/>
      <x:c r="H228" s="14" t="str">
        <x:f>IF(OR(E228="",G228=""),"",E228*G228)</x:f>
      </x:c>
      <x:c r="I228" s="22"/>
    </x:row>
    <x:row r="229" ht="19.5" customHeight="1">
      <x:c r="A229" s="18"/>
      <x:c r="B229" s="18"/>
      <x:c r="C229" s="18"/>
      <x:c r="D229" s="18"/>
      <x:c r="E229" s="19"/>
      <x:c r="F229" s="19"/>
      <x:c r="G229" s="19"/>
      <x:c r="H229" s="14" t="str">
        <x:f>IF(OR(E229="",G229=""),"",E229*G229)</x:f>
      </x:c>
      <x:c r="I229" s="22"/>
    </x:row>
    <x:row r="230" ht="19.5" customHeight="1">
      <x:c r="A230" s="18"/>
      <x:c r="B230" s="18"/>
      <x:c r="C230" s="18"/>
      <x:c r="D230" s="18"/>
      <x:c r="E230" s="19"/>
      <x:c r="F230" s="19"/>
      <x:c r="G230" s="19"/>
      <x:c r="H230" s="14" t="str">
        <x:f>IF(OR(E230="",G230=""),"",E230*G230)</x:f>
      </x:c>
      <x:c r="I230" s="22"/>
    </x:row>
    <x:row r="231" ht="19.5" customHeight="1">
      <x:c r="A231" s="18"/>
      <x:c r="B231" s="18"/>
      <x:c r="C231" s="18"/>
      <x:c r="D231" s="18"/>
      <x:c r="E231" s="19"/>
      <x:c r="F231" s="19"/>
      <x:c r="G231" s="19"/>
      <x:c r="H231" s="14" t="str">
        <x:f>IF(OR(E231="",G231=""),"",E231*G231)</x:f>
      </x:c>
      <x:c r="I231" s="22"/>
    </x:row>
    <x:row r="232" ht="19.5" customHeight="1">
      <x:c r="A232" s="18"/>
      <x:c r="B232" s="18"/>
      <x:c r="C232" s="18"/>
      <x:c r="D232" s="18"/>
      <x:c r="E232" s="19"/>
      <x:c r="F232" s="19"/>
      <x:c r="G232" s="19"/>
      <x:c r="H232" s="14" t="str">
        <x:f>IF(OR(E232="",G232=""),"",E232*G232)</x:f>
      </x:c>
      <x:c r="I232" s="22"/>
    </x:row>
    <x:row r="233" ht="19.5" customHeight="1">
      <x:c r="A233" s="18"/>
      <x:c r="B233" s="18"/>
      <x:c r="C233" s="18"/>
      <x:c r="D233" s="18"/>
      <x:c r="E233" s="19"/>
      <x:c r="F233" s="19"/>
      <x:c r="G233" s="19"/>
      <x:c r="H233" s="14" t="str">
        <x:f>IF(OR(E233="",G233=""),"",E233*G233)</x:f>
      </x:c>
      <x:c r="I233" s="22"/>
    </x:row>
    <x:row r="234" ht="19.5" customHeight="1">
      <x:c r="A234" s="18"/>
      <x:c r="B234" s="18"/>
      <x:c r="C234" s="18"/>
      <x:c r="D234" s="18"/>
      <x:c r="E234" s="19"/>
      <x:c r="F234" s="19"/>
      <x:c r="G234" s="19"/>
      <x:c r="H234" s="14" t="str">
        <x:f>IF(OR(E234="",G234=""),"",E234*G234)</x:f>
      </x:c>
      <x:c r="I234" s="22"/>
    </x:row>
    <x:row r="235" ht="19.5" customHeight="1">
      <x:c r="A235" s="18"/>
      <x:c r="B235" s="18"/>
      <x:c r="C235" s="18"/>
      <x:c r="D235" s="18"/>
      <x:c r="E235" s="19"/>
      <x:c r="F235" s="19"/>
      <x:c r="G235" s="19"/>
      <x:c r="H235" s="14" t="str">
        <x:f>IF(OR(E235="",G235=""),"",E235*G235)</x:f>
      </x:c>
      <x:c r="I235" s="22"/>
    </x:row>
    <x:row r="236" ht="19.5" customHeight="1">
      <x:c r="A236" s="18"/>
      <x:c r="B236" s="18"/>
      <x:c r="C236" s="18"/>
      <x:c r="D236" s="18"/>
      <x:c r="E236" s="19"/>
      <x:c r="F236" s="19"/>
      <x:c r="G236" s="19"/>
      <x:c r="H236" s="14" t="str">
        <x:f>IF(OR(E236="",G236=""),"",E236*G236)</x:f>
      </x:c>
      <x:c r="I236" s="22"/>
    </x:row>
    <x:row r="237" ht="19.5" customHeight="1">
      <x:c r="A237" s="18"/>
      <x:c r="B237" s="18"/>
      <x:c r="C237" s="18"/>
      <x:c r="D237" s="18"/>
      <x:c r="E237" s="19"/>
      <x:c r="F237" s="19"/>
      <x:c r="G237" s="19"/>
      <x:c r="H237" s="14" t="str">
        <x:f>IF(OR(E237="",G237=""),"",E237*G237)</x:f>
      </x:c>
      <x:c r="I237" s="22"/>
    </x:row>
    <x:row r="238" ht="19.5" customHeight="1">
      <x:c r="A238" s="18"/>
      <x:c r="B238" s="18"/>
      <x:c r="C238" s="18"/>
      <x:c r="D238" s="18"/>
      <x:c r="E238" s="19"/>
      <x:c r="F238" s="19"/>
      <x:c r="G238" s="19"/>
      <x:c r="H238" s="14" t="str">
        <x:f>IF(OR(E238="",G238=""),"",E238*G238)</x:f>
      </x:c>
      <x:c r="I238" s="22"/>
    </x:row>
    <x:row r="239" ht="19.5" customHeight="1">
      <x:c r="A239" s="18"/>
      <x:c r="B239" s="18"/>
      <x:c r="C239" s="18"/>
      <x:c r="D239" s="18"/>
      <x:c r="E239" s="19"/>
      <x:c r="F239" s="19"/>
      <x:c r="G239" s="19"/>
      <x:c r="H239" s="14" t="str">
        <x:f>IF(OR(E239="",G239=""),"",E239*G239)</x:f>
      </x:c>
      <x:c r="I239" s="22"/>
    </x:row>
    <x:row r="240" ht="19.5" customHeight="1">
      <x:c r="A240" s="18"/>
      <x:c r="B240" s="18"/>
      <x:c r="C240" s="18"/>
      <x:c r="D240" s="18"/>
      <x:c r="E240" s="19"/>
      <x:c r="F240" s="19"/>
      <x:c r="G240" s="19"/>
      <x:c r="H240" s="14" t="str">
        <x:f>IF(OR(E240="",G240=""),"",E240*G240)</x:f>
      </x:c>
      <x:c r="I240" s="22"/>
    </x:row>
    <x:row r="241" ht="19.5" customHeight="1">
      <x:c r="A241" s="18"/>
      <x:c r="B241" s="18"/>
      <x:c r="C241" s="18"/>
      <x:c r="D241" s="18"/>
      <x:c r="E241" s="19"/>
      <x:c r="F241" s="19"/>
      <x:c r="G241" s="19"/>
      <x:c r="H241" s="14" t="str">
        <x:f>IF(OR(E241="",G241=""),"",E241*G241)</x:f>
      </x:c>
      <x:c r="I241" s="22"/>
    </x:row>
    <x:row r="242" ht="19.5" customHeight="1">
      <x:c r="A242" s="18"/>
      <x:c r="B242" s="18"/>
      <x:c r="C242" s="18"/>
      <x:c r="D242" s="18"/>
      <x:c r="E242" s="19"/>
      <x:c r="F242" s="19"/>
      <x:c r="G242" s="19"/>
      <x:c r="H242" s="14" t="str">
        <x:f>IF(OR(E242="",G242=""),"",E242*G242)</x:f>
      </x:c>
      <x:c r="I242" s="22"/>
    </x:row>
    <x:row r="243" ht="19.5" customHeight="1">
      <x:c r="A243" s="18"/>
      <x:c r="B243" s="18"/>
      <x:c r="C243" s="18"/>
      <x:c r="D243" s="18"/>
      <x:c r="E243" s="19"/>
      <x:c r="F243" s="19"/>
      <x:c r="G243" s="19"/>
      <x:c r="H243" s="14" t="str">
        <x:f>IF(OR(E243="",G243=""),"",E243*G243)</x:f>
      </x:c>
      <x:c r="I243" s="22"/>
    </x:row>
    <x:row r="244" ht="19.5" customHeight="1">
      <x:c r="A244" s="18"/>
      <x:c r="B244" s="18"/>
      <x:c r="C244" s="18"/>
      <x:c r="D244" s="18"/>
      <x:c r="E244" s="19"/>
      <x:c r="F244" s="19"/>
      <x:c r="G244" s="19"/>
      <x:c r="H244" s="14" t="str">
        <x:f>IF(OR(E244="",G244=""),"",E244*G244)</x:f>
      </x:c>
      <x:c r="I244" s="22"/>
    </x:row>
    <x:row r="245" ht="19.5" customHeight="1">
      <x:c r="A245" s="18"/>
      <x:c r="B245" s="18"/>
      <x:c r="C245" s="18"/>
      <x:c r="D245" s="18"/>
      <x:c r="E245" s="19"/>
      <x:c r="F245" s="19"/>
      <x:c r="G245" s="19"/>
      <x:c r="H245" s="14" t="str">
        <x:f>IF(OR(E245="",G245=""),"",E245*G245)</x:f>
      </x:c>
      <x:c r="I245" s="22"/>
    </x:row>
    <x:row r="246" ht="19.5" customHeight="1">
      <x:c r="A246" s="18"/>
      <x:c r="B246" s="18"/>
      <x:c r="C246" s="18"/>
      <x:c r="D246" s="18"/>
      <x:c r="E246" s="19"/>
      <x:c r="F246" s="19"/>
      <x:c r="G246" s="19"/>
      <x:c r="H246" s="14" t="str">
        <x:f>IF(OR(E246="",G246=""),"",E246*G246)</x:f>
      </x:c>
      <x:c r="I246" s="22"/>
    </x:row>
    <x:row r="247" ht="19.5" customHeight="1">
      <x:c r="A247" s="18"/>
      <x:c r="B247" s="18"/>
      <x:c r="C247" s="18"/>
      <x:c r="D247" s="18"/>
      <x:c r="E247" s="19"/>
      <x:c r="F247" s="19"/>
      <x:c r="G247" s="19"/>
      <x:c r="H247" s="14" t="str">
        <x:f>IF(OR(E247="",G247=""),"",E247*G247)</x:f>
      </x:c>
      <x:c r="I247" s="22"/>
    </x:row>
    <x:row r="248" ht="19.5" customHeight="1">
      <x:c r="A248" s="18"/>
      <x:c r="B248" s="18"/>
      <x:c r="C248" s="18"/>
      <x:c r="D248" s="18"/>
      <x:c r="E248" s="19"/>
      <x:c r="F248" s="19"/>
      <x:c r="G248" s="19"/>
      <x:c r="H248" s="14" t="str">
        <x:f>IF(OR(E248="",G248=""),"",E248*G248)</x:f>
      </x:c>
      <x:c r="I248" s="22"/>
    </x:row>
    <x:row r="249" ht="19.5" customHeight="1">
      <x:c r="A249" s="18"/>
      <x:c r="B249" s="18"/>
      <x:c r="C249" s="18"/>
      <x:c r="D249" s="18"/>
      <x:c r="E249" s="19"/>
      <x:c r="F249" s="19"/>
      <x:c r="G249" s="19"/>
      <x:c r="H249" s="14" t="str">
        <x:f>IF(OR(E249="",G249=""),"",E249*G249)</x:f>
      </x:c>
      <x:c r="I249" s="22"/>
    </x:row>
    <x:row r="250" ht="19.5" customHeight="1">
      <x:c r="A250" s="18"/>
      <x:c r="B250" s="18"/>
      <x:c r="C250" s="18"/>
      <x:c r="D250" s="18"/>
      <x:c r="E250" s="19"/>
      <x:c r="F250" s="19"/>
      <x:c r="G250" s="19"/>
      <x:c r="H250" s="14" t="str">
        <x:f>IF(OR(E250="",G250=""),"",E250*G250)</x:f>
      </x:c>
      <x:c r="I250" s="22"/>
    </x:row>
    <x:row r="251" ht="19.5" customHeight="1">
      <x:c r="A251" s="18"/>
      <x:c r="B251" s="18"/>
      <x:c r="C251" s="18"/>
      <x:c r="D251" s="18"/>
      <x:c r="E251" s="19"/>
      <x:c r="F251" s="19"/>
      <x:c r="G251" s="19"/>
      <x:c r="H251" s="14" t="str">
        <x:f>IF(OR(E251="",G251=""),"",E251*G251)</x:f>
      </x:c>
      <x:c r="I251" s="22"/>
    </x:row>
    <x:row r="252" ht="19.5" customHeight="1">
      <x:c r="A252" s="18"/>
      <x:c r="B252" s="18"/>
      <x:c r="C252" s="18"/>
      <x:c r="D252" s="18"/>
      <x:c r="E252" s="19"/>
      <x:c r="F252" s="19"/>
      <x:c r="G252" s="19"/>
      <x:c r="H252" s="14" t="str">
        <x:f>IF(OR(E252="",G252=""),"",E252*G252)</x:f>
      </x:c>
      <x:c r="I252" s="22"/>
    </x:row>
    <x:row r="253" ht="19.5" customHeight="1">
      <x:c r="A253" s="18"/>
      <x:c r="B253" s="18"/>
      <x:c r="C253" s="18"/>
      <x:c r="D253" s="18"/>
      <x:c r="E253" s="19"/>
      <x:c r="F253" s="19"/>
      <x:c r="G253" s="19"/>
      <x:c r="H253" s="14" t="str">
        <x:f>IF(OR(E253="",G253=""),"",E253*G253)</x:f>
      </x:c>
      <x:c r="I253" s="22"/>
    </x:row>
    <x:row r="254" ht="19.5" customHeight="1">
      <x:c r="A254" s="18"/>
      <x:c r="B254" s="18"/>
      <x:c r="C254" s="18"/>
      <x:c r="D254" s="18"/>
      <x:c r="E254" s="19"/>
      <x:c r="F254" s="19"/>
      <x:c r="G254" s="19"/>
      <x:c r="H254" s="14" t="str">
        <x:f>IF(OR(E254="",G254=""),"",E254*G254)</x:f>
      </x:c>
      <x:c r="I254" s="22"/>
    </x:row>
    <x:row r="255" ht="19.5" customHeight="1">
      <x:c r="A255" s="18"/>
      <x:c r="B255" s="18"/>
      <x:c r="C255" s="18"/>
      <x:c r="D255" s="18"/>
      <x:c r="E255" s="19"/>
      <x:c r="F255" s="19"/>
      <x:c r="G255" s="19"/>
      <x:c r="H255" s="14" t="str">
        <x:f>IF(OR(E255="",G255=""),"",E255*G255)</x:f>
      </x:c>
      <x:c r="I255" s="22"/>
    </x:row>
    <x:row r="256" ht="19.5" customHeight="1">
      <x:c r="A256" s="18"/>
      <x:c r="B256" s="18"/>
      <x:c r="C256" s="18"/>
      <x:c r="D256" s="18"/>
      <x:c r="E256" s="19"/>
      <x:c r="F256" s="19"/>
      <x:c r="G256" s="19"/>
      <x:c r="H256" s="14" t="str">
        <x:f>IF(OR(E256="",G256=""),"",E256*G256)</x:f>
      </x:c>
      <x:c r="I256" s="22"/>
    </x:row>
    <x:row r="257" ht="19.5" customHeight="1">
      <x:c r="A257" s="18"/>
      <x:c r="B257" s="18"/>
      <x:c r="C257" s="18"/>
      <x:c r="D257" s="18"/>
      <x:c r="E257" s="19"/>
      <x:c r="F257" s="19"/>
      <x:c r="G257" s="19"/>
      <x:c r="H257" s="14" t="str">
        <x:f>IF(OR(E257="",G257=""),"",E257*G257)</x:f>
      </x:c>
      <x:c r="I257" s="22"/>
    </x:row>
    <x:row r="258" ht="19.5" customHeight="1">
      <x:c r="A258" s="18"/>
      <x:c r="B258" s="18"/>
      <x:c r="C258" s="18"/>
      <x:c r="D258" s="18"/>
      <x:c r="E258" s="19"/>
      <x:c r="F258" s="19"/>
      <x:c r="G258" s="19"/>
      <x:c r="H258" s="14" t="str">
        <x:f>IF(OR(E258="",G258=""),"",E258*G258)</x:f>
      </x:c>
      <x:c r="I258" s="22"/>
    </x:row>
    <x:row r="259" ht="19.5" customHeight="1">
      <x:c r="A259" s="18"/>
      <x:c r="B259" s="18"/>
      <x:c r="C259" s="18"/>
      <x:c r="D259" s="18"/>
      <x:c r="E259" s="19"/>
      <x:c r="F259" s="19"/>
      <x:c r="G259" s="19"/>
      <x:c r="H259" s="14" t="str">
        <x:f>IF(OR(E259="",G259=""),"",E259*G259)</x:f>
      </x:c>
      <x:c r="I259" s="22"/>
    </x:row>
    <x:row r="260" ht="19.5" customHeight="1">
      <x:c r="A260" s="18"/>
      <x:c r="B260" s="18"/>
      <x:c r="C260" s="18"/>
      <x:c r="D260" s="18"/>
      <x:c r="E260" s="19"/>
      <x:c r="F260" s="19"/>
      <x:c r="G260" s="19"/>
      <x:c r="H260" s="14" t="str">
        <x:f>IF(OR(E260="",G260=""),"",E260*G260)</x:f>
      </x:c>
      <x:c r="I260" s="22"/>
    </x:row>
    <x:row r="261" ht="19.5" customHeight="1">
      <x:c r="A261" s="18"/>
      <x:c r="B261" s="18"/>
      <x:c r="C261" s="18"/>
      <x:c r="D261" s="18"/>
      <x:c r="E261" s="19"/>
      <x:c r="F261" s="19"/>
      <x:c r="G261" s="19"/>
      <x:c r="H261" s="14" t="str">
        <x:f>IF(OR(E261="",G261=""),"",E261*G261)</x:f>
      </x:c>
      <x:c r="I261" s="22"/>
    </x:row>
    <x:row r="262" ht="19.5" customHeight="1">
      <x:c r="A262" s="18"/>
      <x:c r="B262" s="18"/>
      <x:c r="C262" s="18"/>
      <x:c r="D262" s="18"/>
      <x:c r="E262" s="19"/>
      <x:c r="F262" s="19"/>
      <x:c r="G262" s="19"/>
      <x:c r="H262" s="14" t="str">
        <x:f>IF(OR(E262="",G262=""),"",E262*G262)</x:f>
      </x:c>
      <x:c r="I262" s="22"/>
    </x:row>
    <x:row r="263" ht="19.5" customHeight="1">
      <x:c r="A263" s="18"/>
      <x:c r="B263" s="18"/>
      <x:c r="C263" s="18"/>
      <x:c r="D263" s="18"/>
      <x:c r="E263" s="19"/>
      <x:c r="F263" s="19"/>
      <x:c r="G263" s="19"/>
      <x:c r="H263" s="14" t="str">
        <x:f>IF(OR(E263="",G263=""),"",E263*G263)</x:f>
      </x:c>
      <x:c r="I263" s="22"/>
    </x:row>
    <x:row r="264" ht="19.5" customHeight="1">
      <x:c r="A264" s="18"/>
      <x:c r="B264" s="18"/>
      <x:c r="C264" s="18"/>
      <x:c r="D264" s="18"/>
      <x:c r="E264" s="19"/>
      <x:c r="F264" s="19"/>
      <x:c r="G264" s="19"/>
      <x:c r="H264" s="14" t="str">
        <x:f>IF(OR(E264="",G264=""),"",E264*G264)</x:f>
      </x:c>
      <x:c r="I264" s="22"/>
    </x:row>
    <x:row r="265" ht="19.5" customHeight="1">
      <x:c r="A265" s="18"/>
      <x:c r="B265" s="18"/>
      <x:c r="C265" s="18"/>
      <x:c r="D265" s="18"/>
      <x:c r="E265" s="19"/>
      <x:c r="F265" s="19"/>
      <x:c r="G265" s="19"/>
      <x:c r="H265" s="14" t="str">
        <x:f>IF(OR(E265="",G265=""),"",E265*G265)</x:f>
      </x:c>
      <x:c r="I265" s="22"/>
    </x:row>
    <x:row r="266" ht="19.5" customHeight="1">
      <x:c r="A266" s="18"/>
      <x:c r="B266" s="18"/>
      <x:c r="C266" s="18"/>
      <x:c r="D266" s="18"/>
      <x:c r="E266" s="19"/>
      <x:c r="F266" s="19"/>
      <x:c r="G266" s="19"/>
      <x:c r="H266" s="14" t="str">
        <x:f>IF(OR(E266="",G266=""),"",E266*G266)</x:f>
      </x:c>
      <x:c r="I266" s="22"/>
    </x:row>
    <x:row r="267" ht="19.5" customHeight="1">
      <x:c r="A267" s="18"/>
      <x:c r="B267" s="18"/>
      <x:c r="C267" s="18"/>
      <x:c r="D267" s="18"/>
      <x:c r="E267" s="19"/>
      <x:c r="F267" s="19"/>
      <x:c r="G267" s="19"/>
      <x:c r="H267" s="14" t="str">
        <x:f>IF(OR(E267="",G267=""),"",E267*G267)</x:f>
      </x:c>
      <x:c r="I267" s="22"/>
    </x:row>
    <x:row r="268" ht="19.5" customHeight="1">
      <x:c r="A268" s="18"/>
      <x:c r="B268" s="18"/>
      <x:c r="C268" s="18"/>
      <x:c r="D268" s="18"/>
      <x:c r="E268" s="19"/>
      <x:c r="F268" s="19"/>
      <x:c r="G268" s="19"/>
      <x:c r="H268" s="14" t="str">
        <x:f>IF(OR(E268="",G268=""),"",E268*G268)</x:f>
      </x:c>
      <x:c r="I268" s="22"/>
    </x:row>
    <x:row r="269" ht="19.5" customHeight="1">
      <x:c r="A269" s="18"/>
      <x:c r="B269" s="18"/>
      <x:c r="C269" s="18"/>
      <x:c r="D269" s="18"/>
      <x:c r="E269" s="19"/>
      <x:c r="F269" s="19"/>
      <x:c r="G269" s="19"/>
      <x:c r="H269" s="14" t="str">
        <x:f>IF(OR(E269="",G269=""),"",E269*G269)</x:f>
      </x:c>
      <x:c r="I269" s="22"/>
    </x:row>
    <x:row r="270" ht="19.5" customHeight="1">
      <x:c r="A270" s="18"/>
      <x:c r="B270" s="18"/>
      <x:c r="C270" s="18"/>
      <x:c r="D270" s="18"/>
      <x:c r="E270" s="19"/>
      <x:c r="F270" s="19"/>
      <x:c r="G270" s="19"/>
      <x:c r="H270" s="14" t="str">
        <x:f>IF(OR(E270="",G270=""),"",E270*G270)</x:f>
      </x:c>
      <x:c r="I270" s="22"/>
    </x:row>
    <x:row r="271" ht="19.5" customHeight="1">
      <x:c r="A271" s="18"/>
      <x:c r="B271" s="18"/>
      <x:c r="C271" s="18"/>
      <x:c r="D271" s="18"/>
      <x:c r="E271" s="19"/>
      <x:c r="F271" s="19"/>
      <x:c r="G271" s="19"/>
      <x:c r="H271" s="14" t="str">
        <x:f>IF(OR(E271="",G271=""),"",E271*G271)</x:f>
      </x:c>
      <x:c r="I271" s="22"/>
    </x:row>
    <x:row r="272" ht="19.5" customHeight="1">
      <x:c r="A272" s="18"/>
      <x:c r="B272" s="18"/>
      <x:c r="C272" s="18"/>
      <x:c r="D272" s="18"/>
      <x:c r="E272" s="19"/>
      <x:c r="F272" s="19"/>
      <x:c r="G272" s="19"/>
      <x:c r="H272" s="14" t="str">
        <x:f>IF(OR(E272="",G272=""),"",E272*G272)</x:f>
      </x:c>
      <x:c r="I272" s="22"/>
    </x:row>
    <x:row r="273" ht="19.5" customHeight="1">
      <x:c r="A273" s="18"/>
      <x:c r="B273" s="18"/>
      <x:c r="C273" s="18"/>
      <x:c r="D273" s="18"/>
      <x:c r="E273" s="19"/>
      <x:c r="F273" s="19"/>
      <x:c r="G273" s="19"/>
      <x:c r="H273" s="14" t="str">
        <x:f>IF(OR(E273="",G273=""),"",E273*G273)</x:f>
      </x:c>
      <x:c r="I273" s="22"/>
    </x:row>
    <x:row r="274" ht="19.5" customHeight="1">
      <x:c r="A274" s="18"/>
      <x:c r="B274" s="18"/>
      <x:c r="C274" s="18"/>
      <x:c r="D274" s="18"/>
      <x:c r="E274" s="19"/>
      <x:c r="F274" s="19"/>
      <x:c r="G274" s="19"/>
      <x:c r="H274" s="14" t="str">
        <x:f>IF(OR(E274="",G274=""),"",E274*G274)</x:f>
      </x:c>
      <x:c r="I274" s="22"/>
    </x:row>
    <x:row r="275" ht="19.5" customHeight="1">
      <x:c r="A275" s="18"/>
      <x:c r="B275" s="18"/>
      <x:c r="C275" s="18"/>
      <x:c r="D275" s="18"/>
      <x:c r="E275" s="19"/>
      <x:c r="F275" s="19"/>
      <x:c r="G275" s="19"/>
      <x:c r="H275" s="14" t="str">
        <x:f>IF(OR(E275="",G275=""),"",E275*G275)</x:f>
      </x:c>
      <x:c r="I275" s="22"/>
    </x:row>
    <x:row r="276" ht="19.5" customHeight="1">
      <x:c r="A276" s="18"/>
      <x:c r="B276" s="18"/>
      <x:c r="C276" s="18"/>
      <x:c r="D276" s="18"/>
      <x:c r="E276" s="19"/>
      <x:c r="F276" s="19"/>
      <x:c r="G276" s="19"/>
      <x:c r="H276" s="14" t="str">
        <x:f>IF(OR(E276="",G276=""),"",E276*G276)</x:f>
      </x:c>
      <x:c r="I276" s="22"/>
    </x:row>
    <x:row r="277" ht="19.5" customHeight="1">
      <x:c r="A277" s="18"/>
      <x:c r="B277" s="18"/>
      <x:c r="C277" s="18"/>
      <x:c r="D277" s="18"/>
      <x:c r="E277" s="19"/>
      <x:c r="F277" s="19"/>
      <x:c r="G277" s="19"/>
      <x:c r="H277" s="14" t="str">
        <x:f>IF(OR(E277="",G277=""),"",E277*G277)</x:f>
      </x:c>
      <x:c r="I277" s="22"/>
    </x:row>
    <x:row r="278" ht="19.5" customHeight="1">
      <x:c r="A278" s="18"/>
      <x:c r="B278" s="18"/>
      <x:c r="C278" s="18"/>
      <x:c r="D278" s="18"/>
      <x:c r="E278" s="19"/>
      <x:c r="F278" s="19"/>
      <x:c r="G278" s="19"/>
      <x:c r="H278" s="14" t="str">
        <x:f>IF(OR(E278="",G278=""),"",E278*G278)</x:f>
      </x:c>
      <x:c r="I278" s="22"/>
    </x:row>
    <x:row r="279" ht="19.5" customHeight="1">
      <x:c r="A279" s="18"/>
      <x:c r="B279" s="18"/>
      <x:c r="C279" s="18"/>
      <x:c r="D279" s="18"/>
      <x:c r="E279" s="19"/>
      <x:c r="F279" s="19"/>
      <x:c r="G279" s="19"/>
      <x:c r="H279" s="14" t="str">
        <x:f>IF(OR(E279="",G279=""),"",E279*G279)</x:f>
      </x:c>
      <x:c r="I279" s="22"/>
    </x:row>
    <x:row r="280" ht="19.5" customHeight="1">
      <x:c r="A280" s="18"/>
      <x:c r="B280" s="18"/>
      <x:c r="C280" s="18"/>
      <x:c r="D280" s="18"/>
      <x:c r="E280" s="19"/>
      <x:c r="F280" s="19"/>
      <x:c r="G280" s="19"/>
      <x:c r="H280" s="14" t="str">
        <x:f>IF(OR(E280="",G280=""),"",E280*G280)</x:f>
      </x:c>
      <x:c r="I280" s="22"/>
    </x:row>
    <x:row r="281" ht="19.5" customHeight="1">
      <x:c r="A281" s="18"/>
      <x:c r="B281" s="18"/>
      <x:c r="C281" s="18"/>
      <x:c r="D281" s="18"/>
      <x:c r="E281" s="19"/>
      <x:c r="F281" s="19"/>
      <x:c r="G281" s="19"/>
      <x:c r="H281" s="14" t="str">
        <x:f>IF(OR(E281="",G281=""),"",E281*G281)</x:f>
      </x:c>
      <x:c r="I281" s="22"/>
    </x:row>
    <x:row r="282" ht="19.5" customHeight="1">
      <x:c r="A282" s="18"/>
      <x:c r="B282" s="18"/>
      <x:c r="C282" s="18"/>
      <x:c r="D282" s="18"/>
      <x:c r="E282" s="19"/>
      <x:c r="F282" s="19"/>
      <x:c r="G282" s="19"/>
      <x:c r="H282" s="14" t="str">
        <x:f>IF(OR(E282="",G282=""),"",E282*G282)</x:f>
      </x:c>
      <x:c r="I282" s="22"/>
    </x:row>
    <x:row r="283" ht="19.5" customHeight="1">
      <x:c r="A283" s="18"/>
      <x:c r="B283" s="18"/>
      <x:c r="C283" s="18"/>
      <x:c r="D283" s="18"/>
      <x:c r="E283" s="19"/>
      <x:c r="F283" s="19"/>
      <x:c r="G283" s="19"/>
      <x:c r="H283" s="14" t="str">
        <x:f>IF(OR(E283="",G283=""),"",E283*G283)</x:f>
      </x:c>
      <x:c r="I283" s="22"/>
    </x:row>
    <x:row r="284" ht="19.5" customHeight="1">
      <x:c r="A284" s="18"/>
      <x:c r="B284" s="18"/>
      <x:c r="C284" s="18"/>
      <x:c r="D284" s="18"/>
      <x:c r="E284" s="19"/>
      <x:c r="F284" s="19"/>
      <x:c r="G284" s="19"/>
      <x:c r="H284" s="14" t="str">
        <x:f>IF(OR(E284="",G284=""),"",E284*G284)</x:f>
      </x:c>
      <x:c r="I284" s="22"/>
    </x:row>
    <x:row r="285" ht="19.5" customHeight="1">
      <x:c r="A285" s="18"/>
      <x:c r="B285" s="18"/>
      <x:c r="C285" s="18"/>
      <x:c r="D285" s="18"/>
      <x:c r="E285" s="19"/>
      <x:c r="F285" s="19"/>
      <x:c r="G285" s="19"/>
      <x:c r="H285" s="14" t="str">
        <x:f>IF(OR(E285="",G285=""),"",E285*G285)</x:f>
      </x:c>
      <x:c r="I285" s="22"/>
    </x:row>
    <x:row r="286" ht="19.5" customHeight="1">
      <x:c r="A286" s="18"/>
      <x:c r="B286" s="18"/>
      <x:c r="C286" s="18"/>
      <x:c r="D286" s="18"/>
      <x:c r="E286" s="19"/>
      <x:c r="F286" s="19"/>
      <x:c r="G286" s="19"/>
      <x:c r="H286" s="14" t="str">
        <x:f>IF(OR(E286="",G286=""),"",E286*G286)</x:f>
      </x:c>
      <x:c r="I286" s="22"/>
    </x:row>
    <x:row r="287" ht="19.5" customHeight="1">
      <x:c r="A287" s="18"/>
      <x:c r="B287" s="18"/>
      <x:c r="C287" s="18"/>
      <x:c r="D287" s="18"/>
      <x:c r="E287" s="19"/>
      <x:c r="F287" s="19"/>
      <x:c r="G287" s="19"/>
      <x:c r="H287" s="14" t="str">
        <x:f>IF(OR(E287="",G287=""),"",E287*G287)</x:f>
      </x:c>
      <x:c r="I287" s="22"/>
    </x:row>
    <x:row r="288" ht="19.5" customHeight="1">
      <x:c r="A288" s="18"/>
      <x:c r="B288" s="18"/>
      <x:c r="C288" s="18"/>
      <x:c r="D288" s="18"/>
      <x:c r="E288" s="19"/>
      <x:c r="F288" s="19"/>
      <x:c r="G288" s="19"/>
      <x:c r="H288" s="14" t="str">
        <x:f>IF(OR(E288="",G288=""),"",E288*G288)</x:f>
      </x:c>
      <x:c r="I288" s="22"/>
    </x:row>
    <x:row r="289" ht="19.5" customHeight="1">
      <x:c r="A289" s="18"/>
      <x:c r="B289" s="18"/>
      <x:c r="C289" s="18"/>
      <x:c r="D289" s="18"/>
      <x:c r="E289" s="19"/>
      <x:c r="F289" s="19"/>
      <x:c r="G289" s="19"/>
      <x:c r="H289" s="14" t="str">
        <x:f>IF(OR(E289="",G289=""),"",E289*G289)</x:f>
      </x:c>
      <x:c r="I289" s="22"/>
    </x:row>
    <x:row r="290" ht="19.5" customHeight="1">
      <x:c r="A290" s="18"/>
      <x:c r="B290" s="18"/>
      <x:c r="C290" s="18"/>
      <x:c r="D290" s="18"/>
      <x:c r="E290" s="19"/>
      <x:c r="F290" s="19"/>
      <x:c r="G290" s="19"/>
      <x:c r="H290" s="14" t="str">
        <x:f>IF(OR(E290="",G290=""),"",E290*G290)</x:f>
      </x:c>
      <x:c r="I290" s="22"/>
    </x:row>
    <x:row r="291" ht="19.5" customHeight="1">
      <x:c r="A291" s="18"/>
      <x:c r="B291" s="18"/>
      <x:c r="C291" s="18"/>
      <x:c r="D291" s="18"/>
      <x:c r="E291" s="19"/>
      <x:c r="F291" s="19"/>
      <x:c r="G291" s="19"/>
      <x:c r="H291" s="14" t="str">
        <x:f>IF(OR(E291="",G291=""),"",E291*G291)</x:f>
      </x:c>
      <x:c r="I291" s="22"/>
    </x:row>
    <x:row r="292" ht="19.5" customHeight="1">
      <x:c r="A292" s="18"/>
      <x:c r="B292" s="18"/>
      <x:c r="C292" s="18"/>
      <x:c r="D292" s="18"/>
      <x:c r="E292" s="19"/>
      <x:c r="F292" s="19"/>
      <x:c r="G292" s="19"/>
      <x:c r="H292" s="14" t="str">
        <x:f>IF(OR(E292="",G292=""),"",E292*G292)</x:f>
      </x:c>
      <x:c r="I292" s="22"/>
    </x:row>
    <x:row r="293" ht="19.5" customHeight="1">
      <x:c r="A293" s="18"/>
      <x:c r="B293" s="18"/>
      <x:c r="C293" s="18"/>
      <x:c r="D293" s="18"/>
      <x:c r="E293" s="19"/>
      <x:c r="F293" s="19"/>
      <x:c r="G293" s="19"/>
      <x:c r="H293" s="14" t="str">
        <x:f>IF(OR(E293="",G293=""),"",E293*G293)</x:f>
      </x:c>
      <x:c r="I293" s="22"/>
    </x:row>
    <x:row r="294" ht="19.5" customHeight="1">
      <x:c r="A294" s="18"/>
      <x:c r="B294" s="18"/>
      <x:c r="C294" s="18"/>
      <x:c r="D294" s="18"/>
      <x:c r="E294" s="19"/>
      <x:c r="F294" s="19"/>
      <x:c r="G294" s="19"/>
      <x:c r="H294" s="14" t="str">
        <x:f>IF(OR(E294="",G294=""),"",E294*G294)</x:f>
      </x:c>
      <x:c r="I294" s="22"/>
    </x:row>
    <x:row r="295" ht="19.5" customHeight="1">
      <x:c r="A295" s="18"/>
      <x:c r="B295" s="18"/>
      <x:c r="C295" s="18"/>
      <x:c r="D295" s="18"/>
      <x:c r="E295" s="19"/>
      <x:c r="F295" s="19"/>
      <x:c r="G295" s="19"/>
      <x:c r="H295" s="14" t="str">
        <x:f>IF(OR(E295="",G295=""),"",E295*G295)</x:f>
      </x:c>
      <x:c r="I295" s="22"/>
    </x:row>
    <x:row r="296" ht="19.5" customHeight="1">
      <x:c r="A296" s="18"/>
      <x:c r="B296" s="18"/>
      <x:c r="C296" s="18"/>
      <x:c r="D296" s="18"/>
      <x:c r="E296" s="19"/>
      <x:c r="F296" s="19"/>
      <x:c r="G296" s="19"/>
      <x:c r="H296" s="14" t="str">
        <x:f>IF(OR(E296="",G296=""),"",E296*G296)</x:f>
      </x:c>
      <x:c r="I296" s="22"/>
    </x:row>
    <x:row r="297" ht="19.5" customHeight="1">
      <x:c r="A297" s="18"/>
      <x:c r="B297" s="18"/>
      <x:c r="C297" s="18"/>
      <x:c r="D297" s="18"/>
      <x:c r="E297" s="19"/>
      <x:c r="F297" s="19"/>
      <x:c r="G297" s="19"/>
      <x:c r="H297" s="14" t="str">
        <x:f>IF(OR(E297="",G297=""),"",E297*G297)</x:f>
      </x:c>
      <x:c r="I297" s="22"/>
    </x:row>
    <x:row r="298" ht="19.5" customHeight="1">
      <x:c r="A298" s="18"/>
      <x:c r="B298" s="18"/>
      <x:c r="C298" s="18"/>
      <x:c r="D298" s="18"/>
      <x:c r="E298" s="19"/>
      <x:c r="F298" s="19"/>
      <x:c r="G298" s="19"/>
      <x:c r="H298" s="14" t="str">
        <x:f>IF(OR(E298="",G298=""),"",E298*G298)</x:f>
      </x:c>
      <x:c r="I298" s="22"/>
    </x:row>
    <x:row r="299" ht="19.5" customHeight="1">
      <x:c r="A299" s="18"/>
      <x:c r="B299" s="18"/>
      <x:c r="C299" s="18"/>
      <x:c r="D299" s="18"/>
      <x:c r="E299" s="19"/>
      <x:c r="F299" s="19"/>
      <x:c r="G299" s="19"/>
      <x:c r="H299" s="14" t="str">
        <x:f>IF(OR(E299="",G299=""),"",E299*G299)</x:f>
      </x:c>
      <x:c r="I299" s="22"/>
    </x:row>
    <x:row r="300" ht="19.5" customHeight="1">
      <x:c r="A300" s="18"/>
      <x:c r="B300" s="18"/>
      <x:c r="C300" s="18"/>
      <x:c r="D300" s="18"/>
      <x:c r="E300" s="19"/>
      <x:c r="F300" s="19"/>
      <x:c r="G300" s="19"/>
      <x:c r="H300" s="14" t="str">
        <x:f>IF(OR(E300="",G300=""),"",E300*G300)</x:f>
      </x:c>
      <x:c r="I300" s="22"/>
    </x:row>
    <x:row r="301" ht="19.5" customHeight="1">
      <x:c r="A301" s="18"/>
      <x:c r="B301" s="18"/>
      <x:c r="C301" s="18"/>
      <x:c r="D301" s="18"/>
      <x:c r="E301" s="19"/>
      <x:c r="F301" s="19"/>
      <x:c r="G301" s="19"/>
      <x:c r="H301" s="14" t="str">
        <x:f>IF(OR(E301="",G301=""),"",E301*G301)</x:f>
      </x:c>
      <x:c r="I301" s="22"/>
    </x:row>
    <x:row r="302" ht="19.5" customHeight="1">
      <x:c r="A302" s="18"/>
      <x:c r="B302" s="18"/>
      <x:c r="C302" s="18"/>
      <x:c r="D302" s="18"/>
      <x:c r="E302" s="19"/>
      <x:c r="F302" s="19"/>
      <x:c r="G302" s="19"/>
      <x:c r="H302" s="14" t="str">
        <x:f>IF(OR(E302="",G302=""),"",E302*G302)</x:f>
      </x:c>
      <x:c r="I302" s="22"/>
    </x:row>
    <x:row r="303" ht="19.5" customHeight="1">
      <x:c r="A303" s="18"/>
      <x:c r="B303" s="18"/>
      <x:c r="C303" s="18"/>
      <x:c r="D303" s="18"/>
      <x:c r="E303" s="19"/>
      <x:c r="F303" s="19"/>
      <x:c r="G303" s="19"/>
      <x:c r="H303" s="14" t="str">
        <x:f>IF(OR(E303="",G303=""),"",E303*G303)</x:f>
      </x:c>
      <x:c r="I303" s="22"/>
    </x:row>
    <x:row r="304" ht="19.5" customHeight="1">
      <x:c r="A304" s="18"/>
      <x:c r="B304" s="18"/>
      <x:c r="C304" s="18"/>
      <x:c r="D304" s="18"/>
      <x:c r="E304" s="19"/>
      <x:c r="F304" s="19"/>
      <x:c r="G304" s="19"/>
      <x:c r="H304" s="14" t="str">
        <x:f>IF(OR(E304="",G304=""),"",E304*G304)</x:f>
      </x:c>
      <x:c r="I304" s="22"/>
    </x:row>
    <x:row r="305" ht="19.5" customHeight="1">
      <x:c r="A305" s="18"/>
      <x:c r="B305" s="18"/>
      <x:c r="C305" s="18"/>
      <x:c r="D305" s="18"/>
      <x:c r="E305" s="19"/>
      <x:c r="F305" s="19"/>
      <x:c r="G305" s="19"/>
      <x:c r="H305" s="14" t="str">
        <x:f>IF(OR(E305="",G305=""),"",E305*G305)</x:f>
      </x:c>
      <x:c r="I305" s="22"/>
    </x:row>
    <x:row r="306" ht="19.5" customHeight="1">
      <x:c r="A306" s="18"/>
      <x:c r="B306" s="18"/>
      <x:c r="C306" s="18"/>
      <x:c r="D306" s="18"/>
      <x:c r="E306" s="19"/>
      <x:c r="F306" s="19"/>
      <x:c r="G306" s="19"/>
      <x:c r="H306" s="14" t="str">
        <x:f>IF(OR(E306="",G306=""),"",E306*G306)</x:f>
      </x:c>
      <x:c r="I306" s="22"/>
    </x:row>
    <x:row r="307" ht="19.5" customHeight="1">
      <x:c r="A307" s="18"/>
      <x:c r="B307" s="18"/>
      <x:c r="C307" s="18"/>
      <x:c r="D307" s="18"/>
      <x:c r="E307" s="19"/>
      <x:c r="F307" s="19"/>
      <x:c r="G307" s="19"/>
      <x:c r="H307" s="14" t="str">
        <x:f>IF(OR(E307="",G307=""),"",E307*G307)</x:f>
      </x:c>
      <x:c r="I307" s="22"/>
    </x:row>
    <x:row r="308" ht="19.5" customHeight="1">
      <x:c r="A308" s="18"/>
      <x:c r="B308" s="18"/>
      <x:c r="C308" s="18"/>
      <x:c r="D308" s="18"/>
      <x:c r="E308" s="19"/>
      <x:c r="F308" s="19"/>
      <x:c r="G308" s="19"/>
      <x:c r="H308" s="14" t="str">
        <x:f>IF(OR(E308="",G308=""),"",E308*G308)</x:f>
      </x:c>
      <x:c r="I308" s="22"/>
    </x:row>
    <x:row r="309" ht="19.5" customHeight="1">
      <x:c r="A309" s="18"/>
      <x:c r="B309" s="18"/>
      <x:c r="C309" s="18"/>
      <x:c r="D309" s="18"/>
      <x:c r="E309" s="19"/>
      <x:c r="F309" s="19"/>
      <x:c r="G309" s="19"/>
      <x:c r="H309" s="14" t="str">
        <x:f>IF(OR(E309="",G309=""),"",E309*G309)</x:f>
      </x:c>
      <x:c r="I309" s="22"/>
    </x:row>
    <x:row r="310" ht="19.5" customHeight="1">
      <x:c r="A310" s="18"/>
      <x:c r="B310" s="18"/>
      <x:c r="C310" s="18"/>
      <x:c r="D310" s="18"/>
      <x:c r="E310" s="19"/>
      <x:c r="F310" s="19"/>
      <x:c r="G310" s="19"/>
      <x:c r="H310" s="14" t="str">
        <x:f>IF(OR(E310="",G310=""),"",E310*G310)</x:f>
      </x:c>
      <x:c r="I310" s="22"/>
    </x:row>
    <x:row r="311" ht="19.5" customHeight="1">
      <x:c r="A311" s="18"/>
      <x:c r="B311" s="18"/>
      <x:c r="C311" s="18"/>
      <x:c r="D311" s="18"/>
      <x:c r="E311" s="19"/>
      <x:c r="F311" s="19"/>
      <x:c r="G311" s="19"/>
      <x:c r="H311" s="14" t="str">
        <x:f>IF(OR(E311="",G311=""),"",E311*G311)</x:f>
      </x:c>
      <x:c r="I311" s="22"/>
    </x:row>
    <x:row r="312" ht="19.5" customHeight="1">
      <x:c r="A312" s="18"/>
      <x:c r="B312" s="18"/>
      <x:c r="C312" s="18"/>
      <x:c r="D312" s="18"/>
      <x:c r="E312" s="19"/>
      <x:c r="F312" s="19"/>
      <x:c r="G312" s="19"/>
      <x:c r="H312" s="14" t="str">
        <x:f>IF(OR(E312="",G312=""),"",E312*G312)</x:f>
      </x:c>
      <x:c r="I312" s="22"/>
    </x:row>
    <x:row r="313" ht="19.5" customHeight="1">
      <x:c r="A313" s="18"/>
      <x:c r="B313" s="18"/>
      <x:c r="C313" s="18"/>
      <x:c r="D313" s="18"/>
      <x:c r="E313" s="19"/>
      <x:c r="F313" s="19"/>
      <x:c r="G313" s="19"/>
      <x:c r="H313" s="14" t="str">
        <x:f>IF(OR(E313="",G313=""),"",E313*G313)</x:f>
      </x:c>
      <x:c r="I313" s="22"/>
    </x:row>
    <x:row r="314" ht="19.5" customHeight="1">
      <x:c r="A314" s="18"/>
      <x:c r="B314" s="18"/>
      <x:c r="C314" s="18"/>
      <x:c r="D314" s="18"/>
      <x:c r="E314" s="19"/>
      <x:c r="F314" s="19"/>
      <x:c r="G314" s="19"/>
      <x:c r="H314" s="14" t="str">
        <x:f>IF(OR(E314="",G314=""),"",E314*G314)</x:f>
      </x:c>
      <x:c r="I314" s="22"/>
    </x:row>
    <x:row r="315" ht="19.5" customHeight="1">
      <x:c r="A315" s="18"/>
      <x:c r="B315" s="18"/>
      <x:c r="C315" s="18"/>
      <x:c r="D315" s="18"/>
      <x:c r="E315" s="19"/>
      <x:c r="F315" s="19"/>
      <x:c r="G315" s="19"/>
      <x:c r="H315" s="14" t="str">
        <x:f>IF(OR(E315="",G315=""),"",E315*G315)</x:f>
      </x:c>
      <x:c r="I315" s="22"/>
    </x:row>
    <x:row r="316" ht="19.5" customHeight="1">
      <x:c r="A316" s="18"/>
      <x:c r="B316" s="18"/>
      <x:c r="C316" s="18"/>
      <x:c r="D316" s="18"/>
      <x:c r="E316" s="19"/>
      <x:c r="F316" s="19"/>
      <x:c r="G316" s="19"/>
      <x:c r="H316" s="14" t="str">
        <x:f>IF(OR(E316="",G316=""),"",E316*G316)</x:f>
      </x:c>
      <x:c r="I316" s="22"/>
    </x:row>
    <x:row r="317" ht="19.5" customHeight="1">
      <x:c r="A317" s="18"/>
      <x:c r="B317" s="18"/>
      <x:c r="C317" s="18"/>
      <x:c r="D317" s="18"/>
      <x:c r="E317" s="19"/>
      <x:c r="F317" s="19"/>
      <x:c r="G317" s="19"/>
      <x:c r="H317" s="14" t="str">
        <x:f>IF(OR(E317="",G317=""),"",E317*G317)</x:f>
      </x:c>
      <x:c r="I317" s="22"/>
    </x:row>
    <x:row r="318" ht="19.5" customHeight="1">
      <x:c r="A318" s="18"/>
      <x:c r="B318" s="18"/>
      <x:c r="C318" s="18"/>
      <x:c r="D318" s="18"/>
      <x:c r="E318" s="19"/>
      <x:c r="F318" s="19"/>
      <x:c r="G318" s="19"/>
      <x:c r="H318" s="14" t="str">
        <x:f>IF(OR(E318="",G318=""),"",E318*G318)</x:f>
      </x:c>
      <x:c r="I318" s="22"/>
    </x:row>
    <x:row r="319" ht="19.5" customHeight="1">
      <x:c r="A319" s="18"/>
      <x:c r="B319" s="18"/>
      <x:c r="C319" s="18"/>
      <x:c r="D319" s="18"/>
      <x:c r="E319" s="19"/>
      <x:c r="F319" s="19"/>
      <x:c r="G319" s="19"/>
      <x:c r="H319" s="14" t="str">
        <x:f>IF(OR(E319="",G319=""),"",E319*G319)</x:f>
      </x:c>
      <x:c r="I319" s="22"/>
    </x:row>
    <x:row r="320" ht="19.5" customHeight="1">
      <x:c r="A320" s="18"/>
      <x:c r="B320" s="18"/>
      <x:c r="C320" s="18"/>
      <x:c r="D320" s="18"/>
      <x:c r="E320" s="19"/>
      <x:c r="F320" s="19"/>
      <x:c r="G320" s="19"/>
      <x:c r="H320" s="14" t="str">
        <x:f>IF(OR(E320="",G320=""),"",E320*G320)</x:f>
      </x:c>
      <x:c r="I320" s="22"/>
    </x:row>
    <x:row r="321" ht="19.5" customHeight="1">
      <x:c r="A321" s="18"/>
      <x:c r="B321" s="18"/>
      <x:c r="C321" s="18"/>
      <x:c r="D321" s="18"/>
      <x:c r="E321" s="19"/>
      <x:c r="F321" s="19"/>
      <x:c r="G321" s="19"/>
      <x:c r="H321" s="14" t="str">
        <x:f>IF(OR(E321="",G321=""),"",E321*G321)</x:f>
      </x:c>
      <x:c r="I321" s="22"/>
    </x:row>
    <x:row r="322" ht="19.5" customHeight="1">
      <x:c r="A322" s="18"/>
      <x:c r="B322" s="18"/>
      <x:c r="C322" s="18"/>
      <x:c r="D322" s="18"/>
      <x:c r="E322" s="19"/>
      <x:c r="F322" s="19"/>
      <x:c r="G322" s="19"/>
      <x:c r="H322" s="14" t="str">
        <x:f>IF(OR(E322="",G322=""),"",E322*G322)</x:f>
      </x:c>
      <x:c r="I322" s="22"/>
    </x:row>
    <x:row r="323" ht="19.5" customHeight="1">
      <x:c r="A323" s="18"/>
      <x:c r="B323" s="18"/>
      <x:c r="C323" s="18"/>
      <x:c r="D323" s="18"/>
      <x:c r="E323" s="19"/>
      <x:c r="F323" s="19"/>
      <x:c r="G323" s="19"/>
      <x:c r="H323" s="14" t="str">
        <x:f>IF(OR(E323="",G323=""),"",E323*G323)</x:f>
      </x:c>
      <x:c r="I323" s="22"/>
    </x:row>
    <x:row r="324" ht="19.5" customHeight="1">
      <x:c r="A324" s="18"/>
      <x:c r="B324" s="18"/>
      <x:c r="C324" s="18"/>
      <x:c r="D324" s="18"/>
      <x:c r="E324" s="19"/>
      <x:c r="F324" s="19"/>
      <x:c r="G324" s="19"/>
      <x:c r="H324" s="14" t="str">
        <x:f>IF(OR(E324="",G324=""),"",E324*G324)</x:f>
      </x:c>
      <x:c r="I324" s="22"/>
    </x:row>
    <x:row r="325" ht="19.5" customHeight="1">
      <x:c r="A325" s="18"/>
      <x:c r="B325" s="18"/>
      <x:c r="C325" s="18"/>
      <x:c r="D325" s="18"/>
      <x:c r="E325" s="19"/>
      <x:c r="F325" s="19"/>
      <x:c r="G325" s="19"/>
      <x:c r="H325" s="14" t="str">
        <x:f>IF(OR(E325="",G325=""),"",E325*G325)</x:f>
      </x:c>
      <x:c r="I325" s="22"/>
    </x:row>
    <x:row r="326" ht="19.5" customHeight="1">
      <x:c r="A326" s="18"/>
      <x:c r="B326" s="18"/>
      <x:c r="C326" s="18"/>
      <x:c r="D326" s="18"/>
      <x:c r="E326" s="19"/>
      <x:c r="F326" s="19"/>
      <x:c r="G326" s="19"/>
      <x:c r="H326" s="14" t="str">
        <x:f>IF(OR(E326="",G326=""),"",E326*G326)</x:f>
      </x:c>
      <x:c r="I326" s="22"/>
    </x:row>
    <x:row r="327" ht="19.5" customHeight="1">
      <x:c r="A327" s="18"/>
      <x:c r="B327" s="18"/>
      <x:c r="C327" s="18"/>
      <x:c r="D327" s="18"/>
      <x:c r="E327" s="19"/>
      <x:c r="F327" s="19"/>
      <x:c r="G327" s="19"/>
      <x:c r="H327" s="14" t="str">
        <x:f>IF(OR(E327="",G327=""),"",E327*G327)</x:f>
      </x:c>
      <x:c r="I327" s="22"/>
    </x:row>
    <x:row r="328" ht="19.5" customHeight="1">
      <x:c r="A328" s="18"/>
      <x:c r="B328" s="18"/>
      <x:c r="C328" s="18"/>
      <x:c r="D328" s="18"/>
      <x:c r="E328" s="19"/>
      <x:c r="F328" s="19"/>
      <x:c r="G328" s="19"/>
      <x:c r="H328" s="14" t="str">
        <x:f>IF(OR(E328="",G328=""),"",E328*G328)</x:f>
      </x:c>
      <x:c r="I328" s="22"/>
    </x:row>
    <x:row r="329" ht="19.5" customHeight="1">
      <x:c r="A329" s="18"/>
      <x:c r="B329" s="18"/>
      <x:c r="C329" s="18"/>
      <x:c r="D329" s="18"/>
      <x:c r="E329" s="19"/>
      <x:c r="F329" s="19"/>
      <x:c r="G329" s="19"/>
      <x:c r="H329" s="14" t="str">
        <x:f>IF(OR(E329="",G329=""),"",E329*G329)</x:f>
      </x:c>
      <x:c r="I329" s="22"/>
    </x:row>
    <x:row r="330" ht="19.5" customHeight="1">
      <x:c r="A330" s="18"/>
      <x:c r="B330" s="18"/>
      <x:c r="C330" s="18"/>
      <x:c r="D330" s="18"/>
      <x:c r="E330" s="19"/>
      <x:c r="F330" s="19"/>
      <x:c r="G330" s="19"/>
      <x:c r="H330" s="14" t="str">
        <x:f>IF(OR(E330="",G330=""),"",E330*G330)</x:f>
      </x:c>
      <x:c r="I330" s="22"/>
    </x:row>
    <x:row r="331" ht="19.5" customHeight="1">
      <x:c r="A331" s="18"/>
      <x:c r="B331" s="18"/>
      <x:c r="C331" s="18"/>
      <x:c r="D331" s="18"/>
      <x:c r="E331" s="19"/>
      <x:c r="F331" s="19"/>
      <x:c r="G331" s="19"/>
      <x:c r="H331" s="14" t="str">
        <x:f>IF(OR(E331="",G331=""),"",E331*G331)</x:f>
      </x:c>
      <x:c r="I331" s="22"/>
    </x:row>
    <x:row r="332" ht="19.5" customHeight="1">
      <x:c r="A332" s="18"/>
      <x:c r="B332" s="18"/>
      <x:c r="C332" s="18"/>
      <x:c r="D332" s="18"/>
      <x:c r="E332" s="19"/>
      <x:c r="F332" s="19"/>
      <x:c r="G332" s="19"/>
      <x:c r="H332" s="14" t="str">
        <x:f>IF(OR(E332="",G332=""),"",E332*G332)</x:f>
      </x:c>
      <x:c r="I332" s="22"/>
    </x:row>
    <x:row r="333" ht="19.5" customHeight="1">
      <x:c r="A333" s="18"/>
      <x:c r="B333" s="18"/>
      <x:c r="C333" s="18"/>
      <x:c r="D333" s="18"/>
      <x:c r="E333" s="19"/>
      <x:c r="F333" s="19"/>
      <x:c r="G333" s="19"/>
      <x:c r="H333" s="14" t="str">
        <x:f>IF(OR(E333="",G333=""),"",E333*G333)</x:f>
      </x:c>
      <x:c r="I333" s="22"/>
    </x:row>
    <x:row r="334" ht="19.5" customHeight="1">
      <x:c r="A334" s="18"/>
      <x:c r="B334" s="18"/>
      <x:c r="C334" s="18"/>
      <x:c r="D334" s="18"/>
      <x:c r="E334" s="19"/>
      <x:c r="F334" s="19"/>
      <x:c r="G334" s="19"/>
      <x:c r="H334" s="14" t="str">
        <x:f>IF(OR(E334="",G334=""),"",E334*G334)</x:f>
      </x:c>
      <x:c r="I334" s="22"/>
    </x:row>
    <x:row r="335" ht="19.5" customHeight="1">
      <x:c r="A335" s="18"/>
      <x:c r="B335" s="18"/>
      <x:c r="C335" s="18"/>
      <x:c r="D335" s="18"/>
      <x:c r="E335" s="19"/>
      <x:c r="F335" s="19"/>
      <x:c r="G335" s="19"/>
      <x:c r="H335" s="14" t="str">
        <x:f>IF(OR(E335="",G335=""),"",E335*G335)</x:f>
      </x:c>
      <x:c r="I335" s="22"/>
    </x:row>
    <x:row r="336" ht="19.5" customHeight="1">
      <x:c r="A336" s="18"/>
      <x:c r="B336" s="18"/>
      <x:c r="C336" s="18"/>
      <x:c r="D336" s="18"/>
      <x:c r="E336" s="19"/>
      <x:c r="F336" s="19"/>
      <x:c r="G336" s="19"/>
      <x:c r="H336" s="14" t="str">
        <x:f>IF(OR(E336="",G336=""),"",E336*G336)</x:f>
      </x:c>
      <x:c r="I336" s="22"/>
    </x:row>
    <x:row r="337" ht="19.5" customHeight="1">
      <x:c r="A337" s="18"/>
      <x:c r="B337" s="18"/>
      <x:c r="C337" s="18"/>
      <x:c r="D337" s="18"/>
      <x:c r="E337" s="19"/>
      <x:c r="F337" s="19"/>
      <x:c r="G337" s="19"/>
      <x:c r="H337" s="14" t="str">
        <x:f>IF(OR(E337="",G337=""),"",E337*G337)</x:f>
      </x:c>
      <x:c r="I337" s="22"/>
    </x:row>
    <x:row r="338" ht="19.5" customHeight="1">
      <x:c r="A338" s="18"/>
      <x:c r="B338" s="18"/>
      <x:c r="C338" s="18"/>
      <x:c r="D338" s="18"/>
      <x:c r="E338" s="19"/>
      <x:c r="F338" s="19"/>
      <x:c r="G338" s="19"/>
      <x:c r="H338" s="14" t="str">
        <x:f>IF(OR(E338="",G338=""),"",E338*G338)</x:f>
      </x:c>
      <x:c r="I338" s="22"/>
    </x:row>
    <x:row r="339" ht="19.5" customHeight="1">
      <x:c r="A339" s="18"/>
      <x:c r="B339" s="18"/>
      <x:c r="C339" s="18"/>
      <x:c r="D339" s="18"/>
      <x:c r="E339" s="19"/>
      <x:c r="F339" s="19"/>
      <x:c r="G339" s="19"/>
      <x:c r="H339" s="14" t="str">
        <x:f>IF(OR(E339="",G339=""),"",E339*G339)</x:f>
      </x:c>
      <x:c r="I339" s="22"/>
    </x:row>
    <x:row r="340" ht="19.5" customHeight="1">
      <x:c r="A340" s="18"/>
      <x:c r="B340" s="18"/>
      <x:c r="C340" s="18"/>
      <x:c r="D340" s="18"/>
      <x:c r="E340" s="19"/>
      <x:c r="F340" s="19"/>
      <x:c r="G340" s="19"/>
      <x:c r="H340" s="14" t="str">
        <x:f>IF(OR(E340="",G340=""),"",E340*G340)</x:f>
      </x:c>
      <x:c r="I340" s="22"/>
    </x:row>
    <x:row r="341" ht="19.5" customHeight="1">
      <x:c r="A341" s="18"/>
      <x:c r="B341" s="18"/>
      <x:c r="C341" s="18"/>
      <x:c r="D341" s="18"/>
      <x:c r="E341" s="19"/>
      <x:c r="F341" s="19"/>
      <x:c r="G341" s="19"/>
      <x:c r="H341" s="14" t="str">
        <x:f>IF(OR(E341="",G341=""),"",E341*G341)</x:f>
      </x:c>
      <x:c r="I341" s="22"/>
    </x:row>
    <x:row r="342" ht="19.5" customHeight="1">
      <x:c r="A342" s="18"/>
      <x:c r="B342" s="18"/>
      <x:c r="C342" s="18"/>
      <x:c r="D342" s="18"/>
      <x:c r="E342" s="19"/>
      <x:c r="F342" s="19"/>
      <x:c r="G342" s="19"/>
      <x:c r="H342" s="14" t="str">
        <x:f>IF(OR(E342="",G342=""),"",E342*G342)</x:f>
      </x:c>
      <x:c r="I342" s="22"/>
    </x:row>
    <x:row r="343" ht="19.5" customHeight="1">
      <x:c r="A343" s="18"/>
      <x:c r="B343" s="18"/>
      <x:c r="C343" s="18"/>
      <x:c r="D343" s="18"/>
      <x:c r="E343" s="19"/>
      <x:c r="F343" s="19"/>
      <x:c r="G343" s="19"/>
      <x:c r="H343" s="14" t="str">
        <x:f>IF(OR(E343="",G343=""),"",E343*G343)</x:f>
      </x:c>
      <x:c r="I343" s="22"/>
    </x:row>
    <x:row r="344" ht="19.5" customHeight="1">
      <x:c r="A344" s="18"/>
      <x:c r="B344" s="18"/>
      <x:c r="C344" s="18"/>
      <x:c r="D344" s="18"/>
      <x:c r="E344" s="19"/>
      <x:c r="F344" s="19"/>
      <x:c r="G344" s="19"/>
      <x:c r="H344" s="14" t="str">
        <x:f>IF(OR(E344="",G344=""),"",E344*G344)</x:f>
      </x:c>
      <x:c r="I344" s="22"/>
    </x:row>
    <x:row r="345" ht="19.5" customHeight="1">
      <x:c r="A345" s="18"/>
      <x:c r="B345" s="18"/>
      <x:c r="C345" s="18"/>
      <x:c r="D345" s="18"/>
      <x:c r="E345" s="19"/>
      <x:c r="F345" s="19"/>
      <x:c r="G345" s="19"/>
      <x:c r="H345" s="14" t="str">
        <x:f>IF(OR(E345="",G345=""),"",E345*G345)</x:f>
      </x:c>
      <x:c r="I345" s="22"/>
    </x:row>
    <x:row r="346" ht="19.5" customHeight="1">
      <x:c r="A346" s="18"/>
      <x:c r="B346" s="18"/>
      <x:c r="C346" s="18"/>
      <x:c r="D346" s="18"/>
      <x:c r="E346" s="19"/>
      <x:c r="F346" s="19"/>
      <x:c r="G346" s="19"/>
      <x:c r="H346" s="14" t="str">
        <x:f>IF(OR(E346="",G346=""),"",E346*G346)</x:f>
      </x:c>
      <x:c r="I346" s="22"/>
    </x:row>
    <x:row r="347" ht="19.5" customHeight="1">
      <x:c r="A347" s="18"/>
      <x:c r="B347" s="18"/>
      <x:c r="C347" s="18"/>
      <x:c r="D347" s="18"/>
      <x:c r="E347" s="19"/>
      <x:c r="F347" s="19"/>
      <x:c r="G347" s="19"/>
      <x:c r="H347" s="14" t="str">
        <x:f>IF(OR(E347="",G347=""),"",E347*G347)</x:f>
      </x:c>
      <x:c r="I347" s="22"/>
    </x:row>
    <x:row r="348" ht="19.5" customHeight="1">
      <x:c r="A348" s="18"/>
      <x:c r="B348" s="18"/>
      <x:c r="C348" s="18"/>
      <x:c r="D348" s="18"/>
      <x:c r="E348" s="19"/>
      <x:c r="F348" s="19"/>
      <x:c r="G348" s="19"/>
      <x:c r="H348" s="14" t="str">
        <x:f>IF(OR(E348="",G348=""),"",E348*G348)</x:f>
      </x:c>
      <x:c r="I348" s="22"/>
    </x:row>
    <x:row r="349" ht="19.5" customHeight="1">
      <x:c r="A349" s="18"/>
      <x:c r="B349" s="18"/>
      <x:c r="C349" s="18"/>
      <x:c r="D349" s="18"/>
      <x:c r="E349" s="19"/>
      <x:c r="F349" s="19"/>
      <x:c r="G349" s="19"/>
      <x:c r="H349" s="14" t="str">
        <x:f>IF(OR(E349="",G349=""),"",E349*G349)</x:f>
      </x:c>
      <x:c r="I349" s="22"/>
    </x:row>
    <x:row r="350" ht="19.5" customHeight="1">
      <x:c r="A350" s="18"/>
      <x:c r="B350" s="18"/>
      <x:c r="C350" s="18"/>
      <x:c r="D350" s="18"/>
      <x:c r="E350" s="19"/>
      <x:c r="F350" s="19"/>
      <x:c r="G350" s="19"/>
      <x:c r="H350" s="14" t="str">
        <x:f>IF(OR(E350="",G350=""),"",E350*G350)</x:f>
      </x:c>
      <x:c r="I350" s="22"/>
    </x:row>
    <x:row r="351" ht="19.5" customHeight="1">
      <x:c r="A351" s="18"/>
      <x:c r="B351" s="18"/>
      <x:c r="C351" s="18"/>
      <x:c r="D351" s="18"/>
      <x:c r="E351" s="19"/>
      <x:c r="F351" s="19"/>
      <x:c r="G351" s="19"/>
      <x:c r="H351" s="14" t="str">
        <x:f>IF(OR(E351="",G351=""),"",E351*G351)</x:f>
      </x:c>
      <x:c r="I351" s="22"/>
    </x:row>
    <x:row r="352" ht="19.5" customHeight="1">
      <x:c r="A352" s="18"/>
      <x:c r="B352" s="18"/>
      <x:c r="C352" s="18"/>
      <x:c r="D352" s="18"/>
      <x:c r="E352" s="19"/>
      <x:c r="F352" s="19"/>
      <x:c r="G352" s="19"/>
      <x:c r="H352" s="14" t="str">
        <x:f>IF(OR(E352="",G352=""),"",E352*G352)</x:f>
      </x:c>
      <x:c r="I352" s="22"/>
    </x:row>
    <x:row r="353" ht="19.5" customHeight="1">
      <x:c r="A353" s="18"/>
      <x:c r="B353" s="18"/>
      <x:c r="C353" s="18"/>
      <x:c r="D353" s="18"/>
      <x:c r="E353" s="19"/>
      <x:c r="F353" s="19"/>
      <x:c r="G353" s="19"/>
      <x:c r="H353" s="14" t="str">
        <x:f>IF(OR(E353="",G353=""),"",E353*G353)</x:f>
      </x:c>
      <x:c r="I353" s="22"/>
    </x:row>
    <x:row r="354" ht="19.5" customHeight="1">
      <x:c r="A354" s="18"/>
      <x:c r="B354" s="18"/>
      <x:c r="C354" s="18"/>
      <x:c r="D354" s="18"/>
      <x:c r="E354" s="19"/>
      <x:c r="F354" s="19"/>
      <x:c r="G354" s="19"/>
      <x:c r="H354" s="14" t="str">
        <x:f>IF(OR(E354="",G354=""),"",E354*G354)</x:f>
      </x:c>
      <x:c r="I354" s="22"/>
    </x:row>
    <x:row r="355" ht="19.5" customHeight="1">
      <x:c r="A355" s="18"/>
      <x:c r="B355" s="18"/>
      <x:c r="C355" s="18"/>
      <x:c r="D355" s="18"/>
      <x:c r="E355" s="19"/>
      <x:c r="F355" s="19"/>
      <x:c r="G355" s="19"/>
      <x:c r="H355" s="14" t="str">
        <x:f>IF(OR(E355="",G355=""),"",E355*G355)</x:f>
      </x:c>
      <x:c r="I355" s="22"/>
    </x:row>
    <x:row r="356" ht="19.5" customHeight="1">
      <x:c r="A356" s="18"/>
      <x:c r="B356" s="18"/>
      <x:c r="C356" s="18"/>
      <x:c r="D356" s="18"/>
      <x:c r="E356" s="19"/>
      <x:c r="F356" s="19"/>
      <x:c r="G356" s="19"/>
      <x:c r="H356" s="14" t="str">
        <x:f>IF(OR(E356="",G356=""),"",E356*G356)</x:f>
      </x:c>
      <x:c r="I356" s="22"/>
    </x:row>
    <x:row r="357" ht="19.5" customHeight="1">
      <x:c r="A357" s="18"/>
      <x:c r="B357" s="18"/>
      <x:c r="C357" s="18"/>
      <x:c r="D357" s="18"/>
      <x:c r="E357" s="19"/>
      <x:c r="F357" s="19"/>
      <x:c r="G357" s="19"/>
      <x:c r="H357" s="14" t="str">
        <x:f>IF(OR(E357="",G357=""),"",E357*G357)</x:f>
      </x:c>
      <x:c r="I357" s="22"/>
    </x:row>
    <x:row r="358" ht="19.5" customHeight="1">
      <x:c r="A358" s="18"/>
      <x:c r="B358" s="18"/>
      <x:c r="C358" s="18"/>
      <x:c r="D358" s="18"/>
      <x:c r="E358" s="19"/>
      <x:c r="F358" s="19"/>
      <x:c r="G358" s="19"/>
      <x:c r="H358" s="14" t="str">
        <x:f>IF(OR(E358="",G358=""),"",E358*G358)</x:f>
      </x:c>
      <x:c r="I358" s="22"/>
    </x:row>
    <x:row r="359" ht="19.5" customHeight="1">
      <x:c r="A359" s="18"/>
      <x:c r="B359" s="18"/>
      <x:c r="C359" s="18"/>
      <x:c r="D359" s="18"/>
      <x:c r="E359" s="19"/>
      <x:c r="F359" s="19"/>
      <x:c r="G359" s="19"/>
      <x:c r="H359" s="14" t="str">
        <x:f>IF(OR(E359="",G359=""),"",E359*G359)</x:f>
      </x:c>
      <x:c r="I359" s="22"/>
    </x:row>
    <x:row r="360" ht="19.5" customHeight="1">
      <x:c r="A360" s="18"/>
      <x:c r="B360" s="18"/>
      <x:c r="C360" s="18"/>
      <x:c r="D360" s="18"/>
      <x:c r="E360" s="19"/>
      <x:c r="F360" s="19"/>
      <x:c r="G360" s="19"/>
      <x:c r="H360" s="14" t="str">
        <x:f>IF(OR(E360="",G360=""),"",E360*G360)</x:f>
      </x:c>
      <x:c r="I360" s="22"/>
    </x:row>
    <x:row r="361" ht="19.5" customHeight="1">
      <x:c r="A361" s="18"/>
      <x:c r="B361" s="18"/>
      <x:c r="C361" s="18"/>
      <x:c r="D361" s="18"/>
      <x:c r="E361" s="19"/>
      <x:c r="F361" s="19"/>
      <x:c r="G361" s="19"/>
      <x:c r="H361" s="14" t="str">
        <x:f>IF(OR(E361="",G361=""),"",E361*G361)</x:f>
      </x:c>
      <x:c r="I361" s="22"/>
    </x:row>
    <x:row r="362" ht="19.5" customHeight="1">
      <x:c r="A362" s="18"/>
      <x:c r="B362" s="18"/>
      <x:c r="C362" s="18"/>
      <x:c r="D362" s="18"/>
      <x:c r="E362" s="19"/>
      <x:c r="F362" s="19"/>
      <x:c r="G362" s="19"/>
      <x:c r="H362" s="14" t="str">
        <x:f>IF(OR(E362="",G362=""),"",E362*G362)</x:f>
      </x:c>
      <x:c r="I362" s="22"/>
    </x:row>
    <x:row r="363" ht="19.5" customHeight="1">
      <x:c r="A363" s="18"/>
      <x:c r="B363" s="18"/>
      <x:c r="C363" s="18"/>
      <x:c r="D363" s="18"/>
      <x:c r="E363" s="19"/>
      <x:c r="F363" s="19"/>
      <x:c r="G363" s="19"/>
      <x:c r="H363" s="14" t="str">
        <x:f>IF(OR(E363="",G363=""),"",E363*G363)</x:f>
      </x:c>
      <x:c r="I363" s="22"/>
    </x:row>
    <x:row r="364" ht="19.5" customHeight="1">
      <x:c r="A364" s="18"/>
      <x:c r="B364" s="18"/>
      <x:c r="C364" s="18"/>
      <x:c r="D364" s="18"/>
      <x:c r="E364" s="19"/>
      <x:c r="F364" s="19"/>
      <x:c r="G364" s="19"/>
      <x:c r="H364" s="14" t="str">
        <x:f>IF(OR(E364="",G364=""),"",E364*G364)</x:f>
      </x:c>
      <x:c r="I364" s="22"/>
    </x:row>
    <x:row r="365" ht="19.5" customHeight="1">
      <x:c r="A365" s="18"/>
      <x:c r="B365" s="18"/>
      <x:c r="C365" s="18"/>
      <x:c r="D365" s="18"/>
      <x:c r="E365" s="19"/>
      <x:c r="F365" s="19"/>
      <x:c r="G365" s="19"/>
      <x:c r="H365" s="14" t="str">
        <x:f>IF(OR(E365="",G365=""),"",E365*G365)</x:f>
      </x:c>
      <x:c r="I365" s="22"/>
    </x:row>
    <x:row r="366" ht="19.5" customHeight="1">
      <x:c r="A366" s="18"/>
      <x:c r="B366" s="18"/>
      <x:c r="C366" s="18"/>
      <x:c r="D366" s="18"/>
      <x:c r="E366" s="19"/>
      <x:c r="F366" s="19"/>
      <x:c r="G366" s="19"/>
      <x:c r="H366" s="14" t="str">
        <x:f>IF(OR(E366="",G366=""),"",E366*G366)</x:f>
      </x:c>
      <x:c r="I366" s="22"/>
    </x:row>
    <x:row r="367" ht="19.5" customHeight="1">
      <x:c r="A367" s="18"/>
      <x:c r="B367" s="18"/>
      <x:c r="C367" s="18"/>
      <x:c r="D367" s="18"/>
      <x:c r="E367" s="19"/>
      <x:c r="F367" s="19"/>
      <x:c r="G367" s="19"/>
      <x:c r="H367" s="14" t="str">
        <x:f>IF(OR(E367="",G367=""),"",E367*G367)</x:f>
      </x:c>
      <x:c r="I367" s="22"/>
    </x:row>
    <x:row r="368" ht="19.5" customHeight="1">
      <x:c r="A368" s="18"/>
      <x:c r="B368" s="18"/>
      <x:c r="C368" s="18"/>
      <x:c r="D368" s="18"/>
      <x:c r="E368" s="19"/>
      <x:c r="F368" s="19"/>
      <x:c r="G368" s="19"/>
      <x:c r="H368" s="14" t="str">
        <x:f>IF(OR(E368="",G368=""),"",E368*G368)</x:f>
      </x:c>
      <x:c r="I368" s="22"/>
    </x:row>
    <x:row r="369" ht="19.5" customHeight="1">
      <x:c r="A369" s="18"/>
      <x:c r="B369" s="18"/>
      <x:c r="C369" s="18"/>
      <x:c r="D369" s="18"/>
      <x:c r="E369" s="19"/>
      <x:c r="F369" s="19"/>
      <x:c r="G369" s="19"/>
      <x:c r="H369" s="14" t="str">
        <x:f>IF(OR(E369="",G369=""),"",E369*G369)</x:f>
      </x:c>
      <x:c r="I369" s="22"/>
    </x:row>
    <x:row r="370" ht="19.5" customHeight="1">
      <x:c r="A370" s="18"/>
      <x:c r="B370" s="18"/>
      <x:c r="C370" s="18"/>
      <x:c r="D370" s="18"/>
      <x:c r="E370" s="19"/>
      <x:c r="F370" s="19"/>
      <x:c r="G370" s="19"/>
      <x:c r="H370" s="14" t="str">
        <x:f>IF(OR(E370="",G370=""),"",E370*G370)</x:f>
      </x:c>
      <x:c r="I370" s="22"/>
    </x:row>
    <x:row r="371" ht="19.5" customHeight="1">
      <x:c r="A371" s="18"/>
      <x:c r="B371" s="18"/>
      <x:c r="C371" s="18"/>
      <x:c r="D371" s="18"/>
      <x:c r="E371" s="19"/>
      <x:c r="F371" s="19"/>
      <x:c r="G371" s="19"/>
      <x:c r="H371" s="14" t="str">
        <x:f>IF(OR(E371="",G371=""),"",E371*G371)</x:f>
      </x:c>
      <x:c r="I371" s="22"/>
    </x:row>
    <x:row r="372" ht="19.5" customHeight="1">
      <x:c r="A372" s="18"/>
      <x:c r="B372" s="18"/>
      <x:c r="C372" s="18"/>
      <x:c r="D372" s="18"/>
      <x:c r="E372" s="19"/>
      <x:c r="F372" s="19"/>
      <x:c r="G372" s="19"/>
      <x:c r="H372" s="14" t="str">
        <x:f>IF(OR(E372="",G372=""),"",E372*G372)</x:f>
      </x:c>
      <x:c r="I372" s="22"/>
    </x:row>
    <x:row r="373" ht="19.5" customHeight="1">
      <x:c r="A373" s="18"/>
      <x:c r="B373" s="18"/>
      <x:c r="C373" s="18"/>
      <x:c r="D373" s="18"/>
      <x:c r="E373" s="19"/>
      <x:c r="F373" s="19"/>
      <x:c r="G373" s="19"/>
      <x:c r="H373" s="14" t="str">
        <x:f>IF(OR(E373="",G373=""),"",E373*G373)</x:f>
      </x:c>
      <x:c r="I373" s="22"/>
    </x:row>
    <x:row r="374" ht="19.5" customHeight="1">
      <x:c r="A374" s="18"/>
      <x:c r="B374" s="18"/>
      <x:c r="C374" s="18"/>
      <x:c r="D374" s="18"/>
      <x:c r="E374" s="19"/>
      <x:c r="F374" s="19"/>
      <x:c r="G374" s="19"/>
      <x:c r="H374" s="14" t="str">
        <x:f>IF(OR(E374="",G374=""),"",E374*G374)</x:f>
      </x:c>
      <x:c r="I374" s="22"/>
    </x:row>
    <x:row r="375" ht="19.5" customHeight="1">
      <x:c r="A375" s="18"/>
      <x:c r="B375" s="18"/>
      <x:c r="C375" s="18"/>
      <x:c r="D375" s="18"/>
      <x:c r="E375" s="19"/>
      <x:c r="F375" s="19"/>
      <x:c r="G375" s="19"/>
      <x:c r="H375" s="14" t="str">
        <x:f>IF(OR(E375="",G375=""),"",E375*G375)</x:f>
      </x:c>
      <x:c r="I375" s="22"/>
    </x:row>
    <x:row r="376" ht="19.5" customHeight="1">
      <x:c r="A376" s="18"/>
      <x:c r="B376" s="18"/>
      <x:c r="C376" s="18"/>
      <x:c r="D376" s="18"/>
      <x:c r="E376" s="19"/>
      <x:c r="F376" s="19"/>
      <x:c r="G376" s="19"/>
      <x:c r="H376" s="14" t="str">
        <x:f>IF(OR(E376="",G376=""),"",E376*G376)</x:f>
      </x:c>
      <x:c r="I376" s="22"/>
    </x:row>
    <x:row r="377" ht="19.5" customHeight="1">
      <x:c r="A377" s="18"/>
      <x:c r="B377" s="18"/>
      <x:c r="C377" s="18"/>
      <x:c r="D377" s="18"/>
      <x:c r="E377" s="19"/>
      <x:c r="F377" s="19"/>
      <x:c r="G377" s="19"/>
      <x:c r="H377" s="14" t="str">
        <x:f>IF(OR(E377="",G377=""),"",E377*G377)</x:f>
      </x:c>
      <x:c r="I377" s="22"/>
    </x:row>
    <x:row r="378" ht="19.5" customHeight="1">
      <x:c r="A378" s="18"/>
      <x:c r="B378" s="18"/>
      <x:c r="C378" s="18"/>
      <x:c r="D378" s="18"/>
      <x:c r="E378" s="19"/>
      <x:c r="F378" s="19"/>
      <x:c r="G378" s="19"/>
      <x:c r="H378" s="14" t="str">
        <x:f>IF(OR(E378="",G378=""),"",E378*G378)</x:f>
      </x:c>
      <x:c r="I378" s="22"/>
    </x:row>
    <x:row r="379" ht="19.5" customHeight="1">
      <x:c r="A379" s="18"/>
      <x:c r="B379" s="18"/>
      <x:c r="C379" s="18"/>
      <x:c r="D379" s="18"/>
      <x:c r="E379" s="19"/>
      <x:c r="F379" s="19"/>
      <x:c r="G379" s="19"/>
      <x:c r="H379" s="14" t="str">
        <x:f>IF(OR(E379="",G379=""),"",E379*G379)</x:f>
      </x:c>
      <x:c r="I379" s="22"/>
    </x:row>
    <x:row r="380" ht="19.5" customHeight="1">
      <x:c r="A380" s="18"/>
      <x:c r="B380" s="18"/>
      <x:c r="C380" s="18"/>
      <x:c r="D380" s="18"/>
      <x:c r="E380" s="19"/>
      <x:c r="F380" s="19"/>
      <x:c r="G380" s="19"/>
      <x:c r="H380" s="14" t="str">
        <x:f>IF(OR(E380="",G380=""),"",E380*G380)</x:f>
      </x:c>
      <x:c r="I380" s="22"/>
    </x:row>
    <x:row r="381" ht="19.5" customHeight="1">
      <x:c r="A381" s="18"/>
      <x:c r="B381" s="18"/>
      <x:c r="C381" s="18"/>
      <x:c r="D381" s="18"/>
      <x:c r="E381" s="19"/>
      <x:c r="F381" s="19"/>
      <x:c r="G381" s="19"/>
      <x:c r="H381" s="14" t="str">
        <x:f>IF(OR(E381="",G381=""),"",E381*G381)</x:f>
      </x:c>
      <x:c r="I381" s="22"/>
    </x:row>
    <x:row r="382" ht="19.5" customHeight="1">
      <x:c r="A382" s="18"/>
      <x:c r="B382" s="18"/>
      <x:c r="C382" s="18"/>
      <x:c r="D382" s="18"/>
      <x:c r="E382" s="19"/>
      <x:c r="F382" s="19"/>
      <x:c r="G382" s="19"/>
      <x:c r="H382" s="14" t="str">
        <x:f>IF(OR(E382="",G382=""),"",E382*G382)</x:f>
      </x:c>
      <x:c r="I382" s="22"/>
    </x:row>
    <x:row r="383" ht="19.5" customHeight="1">
      <x:c r="A383" s="18"/>
      <x:c r="B383" s="18"/>
      <x:c r="C383" s="18"/>
      <x:c r="D383" s="18"/>
      <x:c r="E383" s="19"/>
      <x:c r="F383" s="19"/>
      <x:c r="G383" s="19"/>
      <x:c r="H383" s="14" t="str">
        <x:f>IF(OR(E383="",G383=""),"",E383*G383)</x:f>
      </x:c>
      <x:c r="I383" s="22"/>
    </x:row>
    <x:row r="384" ht="19.5" customHeight="1">
      <x:c r="A384" s="18"/>
      <x:c r="B384" s="18"/>
      <x:c r="C384" s="18"/>
      <x:c r="D384" s="18"/>
      <x:c r="E384" s="19"/>
      <x:c r="F384" s="19"/>
      <x:c r="G384" s="19"/>
      <x:c r="H384" s="14" t="str">
        <x:f>IF(OR(E384="",G384=""),"",E384*G384)</x:f>
      </x:c>
      <x:c r="I384" s="22"/>
    </x:row>
    <x:row r="385" ht="19.5" customHeight="1">
      <x:c r="A385" s="18"/>
      <x:c r="B385" s="18"/>
      <x:c r="C385" s="18"/>
      <x:c r="D385" s="18"/>
      <x:c r="E385" s="19"/>
      <x:c r="F385" s="19"/>
      <x:c r="G385" s="19"/>
      <x:c r="H385" s="14" t="str">
        <x:f>IF(OR(E385="",G385=""),"",E385*G385)</x:f>
      </x:c>
      <x:c r="I385" s="22"/>
    </x:row>
    <x:row r="386" ht="19.5" customHeight="1">
      <x:c r="A386" s="18"/>
      <x:c r="B386" s="18"/>
      <x:c r="C386" s="18"/>
      <x:c r="D386" s="18"/>
      <x:c r="E386" s="19"/>
      <x:c r="F386" s="19"/>
      <x:c r="G386" s="19"/>
      <x:c r="H386" s="14" t="str">
        <x:f>IF(OR(E386="",G386=""),"",E386*G386)</x:f>
      </x:c>
      <x:c r="I386" s="22"/>
    </x:row>
    <x:row r="387" ht="19.5" customHeight="1">
      <x:c r="A387" s="18"/>
      <x:c r="B387" s="18"/>
      <x:c r="C387" s="18"/>
      <x:c r="D387" s="18"/>
      <x:c r="E387" s="19"/>
      <x:c r="F387" s="19"/>
      <x:c r="G387" s="19"/>
      <x:c r="H387" s="14" t="str">
        <x:f>IF(OR(E387="",G387=""),"",E387*G387)</x:f>
      </x:c>
      <x:c r="I387" s="22"/>
    </x:row>
    <x:row r="388" ht="19.5" customHeight="1">
      <x:c r="A388" s="18"/>
      <x:c r="B388" s="18"/>
      <x:c r="C388" s="18"/>
      <x:c r="D388" s="18"/>
      <x:c r="E388" s="19"/>
      <x:c r="F388" s="19"/>
      <x:c r="G388" s="19"/>
      <x:c r="H388" s="14" t="str">
        <x:f>IF(OR(E388="",G388=""),"",E388*G388)</x:f>
      </x:c>
      <x:c r="I388" s="22"/>
    </x:row>
    <x:row r="389" ht="19.5" customHeight="1">
      <x:c r="A389" s="18"/>
      <x:c r="B389" s="18"/>
      <x:c r="C389" s="18"/>
      <x:c r="D389" s="18"/>
      <x:c r="E389" s="19"/>
      <x:c r="F389" s="19"/>
      <x:c r="G389" s="19"/>
      <x:c r="H389" s="14" t="str">
        <x:f>IF(OR(E389="",G389=""),"",E389*G389)</x:f>
      </x:c>
      <x:c r="I389" s="22"/>
    </x:row>
    <x:row r="390" ht="19.5" customHeight="1">
      <x:c r="A390" s="18"/>
      <x:c r="B390" s="18"/>
      <x:c r="C390" s="18"/>
      <x:c r="D390" s="18"/>
      <x:c r="E390" s="19"/>
      <x:c r="F390" s="19"/>
      <x:c r="G390" s="19"/>
      <x:c r="H390" s="14" t="str">
        <x:f>IF(OR(E390="",G390=""),"",E390*G390)</x:f>
      </x:c>
      <x:c r="I390" s="22"/>
    </x:row>
    <x:row r="391" ht="19.5" customHeight="1">
      <x:c r="A391" s="18"/>
      <x:c r="B391" s="18"/>
      <x:c r="C391" s="18"/>
      <x:c r="D391" s="18"/>
      <x:c r="E391" s="19"/>
      <x:c r="F391" s="19"/>
      <x:c r="G391" s="19"/>
      <x:c r="H391" s="14" t="str">
        <x:f>IF(OR(E391="",G391=""),"",E391*G391)</x:f>
      </x:c>
      <x:c r="I391" s="22"/>
    </x:row>
    <x:row r="392" ht="19.5" customHeight="1">
      <x:c r="A392" s="18"/>
      <x:c r="B392" s="18"/>
      <x:c r="C392" s="18"/>
      <x:c r="D392" s="18"/>
      <x:c r="E392" s="19"/>
      <x:c r="F392" s="19"/>
      <x:c r="G392" s="19"/>
      <x:c r="H392" s="14" t="str">
        <x:f>IF(OR(E392="",G392=""),"",E392*G392)</x:f>
      </x:c>
      <x:c r="I392" s="22"/>
    </x:row>
    <x:row r="393" ht="19.5" customHeight="1">
      <x:c r="A393" s="18"/>
      <x:c r="B393" s="18"/>
      <x:c r="C393" s="18"/>
      <x:c r="D393" s="18"/>
      <x:c r="E393" s="19"/>
      <x:c r="F393" s="19"/>
      <x:c r="G393" s="19"/>
      <x:c r="H393" s="14" t="str">
        <x:f>IF(OR(E393="",G393=""),"",E393*G393)</x:f>
      </x:c>
      <x:c r="I393" s="22"/>
    </x:row>
    <x:row r="394" ht="19.5" customHeight="1">
      <x:c r="A394" s="18"/>
      <x:c r="B394" s="18"/>
      <x:c r="C394" s="18"/>
      <x:c r="D394" s="18"/>
      <x:c r="E394" s="19"/>
      <x:c r="F394" s="19"/>
      <x:c r="G394" s="19"/>
      <x:c r="H394" s="14" t="str">
        <x:f>IF(OR(E394="",G394=""),"",E394*G394)</x:f>
      </x:c>
      <x:c r="I394" s="22"/>
    </x:row>
    <x:row r="395" ht="19.5" customHeight="1">
      <x:c r="A395" s="18"/>
      <x:c r="B395" s="18"/>
      <x:c r="C395" s="18"/>
      <x:c r="D395" s="18"/>
      <x:c r="E395" s="19"/>
      <x:c r="F395" s="19"/>
      <x:c r="G395" s="19"/>
      <x:c r="H395" s="14" t="str">
        <x:f>IF(OR(E395="",G395=""),"",E395*G395)</x:f>
      </x:c>
      <x:c r="I395" s="22"/>
    </x:row>
    <x:row r="396" ht="19.5" customHeight="1">
      <x:c r="A396" s="18"/>
      <x:c r="B396" s="18"/>
      <x:c r="C396" s="18"/>
      <x:c r="D396" s="18"/>
      <x:c r="E396" s="19"/>
      <x:c r="F396" s="19"/>
      <x:c r="G396" s="19"/>
      <x:c r="H396" s="14" t="str">
        <x:f>IF(OR(E396="",G396=""),"",E396*G396)</x:f>
      </x:c>
      <x:c r="I396" s="22"/>
    </x:row>
    <x:row r="397" ht="19.5" customHeight="1">
      <x:c r="A397" s="18"/>
      <x:c r="B397" s="18"/>
      <x:c r="C397" s="18"/>
      <x:c r="D397" s="18"/>
      <x:c r="E397" s="19"/>
      <x:c r="F397" s="19"/>
      <x:c r="G397" s="19"/>
      <x:c r="H397" s="14" t="str">
        <x:f>IF(OR(E397="",G397=""),"",E397*G397)</x:f>
      </x:c>
      <x:c r="I397" s="22"/>
    </x:row>
    <x:row r="398" ht="19.5" customHeight="1">
      <x:c r="A398" s="18"/>
      <x:c r="B398" s="18"/>
      <x:c r="C398" s="18"/>
      <x:c r="D398" s="18"/>
      <x:c r="E398" s="19"/>
      <x:c r="F398" s="19"/>
      <x:c r="G398" s="19"/>
      <x:c r="H398" s="14" t="str">
        <x:f>IF(OR(E398="",G398=""),"",E398*G398)</x:f>
      </x:c>
      <x:c r="I398" s="22"/>
    </x:row>
  </x:sheetData>
  <x:mergeCells>
    <x:mergeCell ref="A1:I1"/>
    <x:mergeCell ref="C2:I2"/>
  </x:mergeCells>
  <x:dataValidations count="1">
    <x:dataValidation type="list" sqref="D5:D398">
      <x:formula1>"CNY,USD,HKD"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890000343322754" hidden="0" customWidth="1"/>
    <x:col min="2" max="2" width="12.779999732971191" hidden="0" customWidth="1"/>
    <x:col min="3" max="3" width="13.329999923706055" hidden="0" customWidth="1"/>
    <x:col min="4" max="4" width="13.890000343322754" hidden="0" customWidth="1"/>
    <x:col min="5" max="5" width="15.5600004196167" hidden="0" customWidth="1"/>
    <x:col min="6" max="6" width="13.329999923706055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20.559999465942383" hidden="0" customWidth="1"/>
    <x:col min="11" max="11" width="40" hidden="0" customWidth="1"/>
  </x:cols>
  <x:sheetData>
    <x:row r="1" ht="21" customHeight="1">
      <x:c r="A1" s="4" t="str">
        <x:v>MONTHLY HISTORY — ECONOMIC MONTH CLOSE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3" customHeight="1">
      <x:c r="A2" s="7" t="str">
        <x:v>One row is one economic month. Enter aggregated income and spending; freeze native-currency asset values only when the period is closed.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.5" customHeight="1">
      <x:c r="A4" s="11" t="str">
        <x:v>ECONOMIC MONTH-END</x:v>
      </x:c>
      <x:c r="B4" s="11" t="str">
        <x:v>SALARY CNY</x:v>
      </x:c>
      <x:c r="C4" s="11" t="str">
        <x:v>OTHER EARNED CNY</x:v>
      </x:c>
      <x:c r="D4" s="11" t="str">
        <x:v>LIVING EXPENSE CNY</x:v>
      </x:c>
      <x:c r="E4" s="11" t="str">
        <x:v>OTHER EXTERNAL FLOW CNY</x:v>
      </x:c>
      <x:c r="F4" s="11" t="str">
        <x:v>NET SAVING CNY</x:v>
      </x:c>
      <x:c r="G4" s="11" t="str">
        <x:v>CNY ASSETS</x:v>
      </x:c>
      <x:c r="H4" s="11" t="str">
        <x:v>USD ASSETS</x:v>
      </x:c>
      <x:c r="I4" s="11" t="str">
        <x:v>HKD ASSETS</x:v>
      </x:c>
      <x:c r="J4" s="11" t="str">
        <x:v>CLOSE STATUS</x:v>
      </x:c>
      <x:c r="K4" s="11" t="str">
        <x:v>NOTES</x:v>
      </x:c>
    </x:row>
    <x:row r="5" ht="19.5" customHeight="1">
      <x:c r="A5" s="25"/>
      <x:c r="B5" s="19"/>
      <x:c r="C5" s="19"/>
      <x:c r="D5" s="19"/>
      <x:c r="E5" s="19"/>
      <x:c r="F5" s="14" t="str">
        <x:f>IF(OR(A5="",B5="",D5=""),"",SUM(B5:C5)-N(D5)+N(E5))</x:f>
      </x:c>
      <x:c r="G5" s="14" t="str">
        <x:f>IF(OR(A5="",'02 Balance Sheet'!$B$2&lt;&gt;$A5),"",SUMIF('02 Balance Sheet'!$D:$D,"CNY",'02 Balance Sheet'!$H:$H))</x:f>
      </x:c>
      <x:c r="H5" s="14" t="str">
        <x:f>IF(OR(A5="",'02 Balance Sheet'!$B$2&lt;&gt;$A5),"",SUMIF('02 Balance Sheet'!$D:$D,"USD",'02 Balance Sheet'!$H:$H))</x:f>
      </x:c>
      <x:c r="I5" s="14" t="str">
        <x:f>IF(OR(A5="",'02 Balance Sheet'!$B$2&lt;&gt;$A5),"",SUMIF('02 Balance Sheet'!$D:$D,"HKD",'02 Balance Sheet'!$H:$H))</x:f>
      </x:c>
      <x:c r="J5" s="12" t="str">
        <x:f>IF(A5="","",IF(COUNT(G5:I5)&lt;3,"Awaiting Month-End Snapshot",IF(OR(B5="",D5=""),"Awaiting Monthly Inputs","Ready to Close")))</x:f>
      </x:c>
      <x:c r="K5" s="22"/>
    </x:row>
    <x:row r="6" ht="19.5" customHeight="1">
      <x:c r="A6" s="25"/>
      <x:c r="B6" s="19"/>
      <x:c r="C6" s="19"/>
      <x:c r="D6" s="19"/>
      <x:c r="E6" s="19"/>
      <x:c r="F6" s="14" t="str">
        <x:f>IF(OR(A6="",B6="",D6=""),"",SUM(B6:C6)-N(D6)+N(E6))</x:f>
      </x:c>
      <x:c r="G6" s="14" t="str">
        <x:f>IF(OR(A6="",'02 Balance Sheet'!$B$2&lt;&gt;$A6),"",SUMIF('02 Balance Sheet'!$D:$D,"CNY",'02 Balance Sheet'!$H:$H))</x:f>
      </x:c>
      <x:c r="H6" s="14" t="str">
        <x:f>IF(OR(A6="",'02 Balance Sheet'!$B$2&lt;&gt;$A6),"",SUMIF('02 Balance Sheet'!$D:$D,"USD",'02 Balance Sheet'!$H:$H))</x:f>
      </x:c>
      <x:c r="I6" s="14" t="str">
        <x:f>IF(OR(A6="",'02 Balance Sheet'!$B$2&lt;&gt;$A6),"",SUMIF('02 Balance Sheet'!$D:$D,"HKD",'02 Balance Sheet'!$H:$H))</x:f>
      </x:c>
      <x:c r="J6" s="12" t="str">
        <x:f>IF(A6="","",IF(COUNT(G6:I6)&lt;3,"Awaiting Month-End Snapshot",IF(OR(B6="",D6=""),"Awaiting Monthly Inputs","Ready to Close")))</x:f>
      </x:c>
      <x:c r="K6" s="22"/>
    </x:row>
    <x:row r="7" ht="19.5" customHeight="1">
      <x:c r="A7" s="25"/>
      <x:c r="B7" s="19"/>
      <x:c r="C7" s="19"/>
      <x:c r="D7" s="19"/>
      <x:c r="E7" s="19"/>
      <x:c r="F7" s="14" t="str">
        <x:f>IF(OR(A7="",B7="",D7=""),"",SUM(B7:C7)-N(D7)+N(E7))</x:f>
      </x:c>
      <x:c r="G7" s="14" t="str">
        <x:f>IF(OR(A7="",'02 Balance Sheet'!$B$2&lt;&gt;$A7),"",SUMIF('02 Balance Sheet'!$D:$D,"CNY",'02 Balance Sheet'!$H:$H))</x:f>
      </x:c>
      <x:c r="H7" s="14" t="str">
        <x:f>IF(OR(A7="",'02 Balance Sheet'!$B$2&lt;&gt;$A7),"",SUMIF('02 Balance Sheet'!$D:$D,"USD",'02 Balance Sheet'!$H:$H))</x:f>
      </x:c>
      <x:c r="I7" s="14" t="str">
        <x:f>IF(OR(A7="",'02 Balance Sheet'!$B$2&lt;&gt;$A7),"",SUMIF('02 Balance Sheet'!$D:$D,"HKD",'02 Balance Sheet'!$H:$H))</x:f>
      </x:c>
      <x:c r="J7" s="12" t="str">
        <x:f>IF(A7="","",IF(COUNT(G7:I7)&lt;3,"Awaiting Month-End Snapshot",IF(OR(B7="",D7=""),"Awaiting Monthly Inputs","Ready to Close")))</x:f>
      </x:c>
      <x:c r="K7" s="22"/>
    </x:row>
    <x:row r="8" ht="19.5" customHeight="1">
      <x:c r="A8" s="25"/>
      <x:c r="B8" s="19"/>
      <x:c r="C8" s="19"/>
      <x:c r="D8" s="19"/>
      <x:c r="E8" s="19"/>
      <x:c r="F8" s="14" t="str">
        <x:f>IF(OR(A8="",B8="",D8=""),"",SUM(B8:C8)-N(D8)+N(E8))</x:f>
      </x:c>
      <x:c r="G8" s="14" t="str">
        <x:f>IF(OR(A8="",'02 Balance Sheet'!$B$2&lt;&gt;$A8),"",SUMIF('02 Balance Sheet'!$D:$D,"CNY",'02 Balance Sheet'!$H:$H))</x:f>
      </x:c>
      <x:c r="H8" s="14" t="str">
        <x:f>IF(OR(A8="",'02 Balance Sheet'!$B$2&lt;&gt;$A8),"",SUMIF('02 Balance Sheet'!$D:$D,"USD",'02 Balance Sheet'!$H:$H))</x:f>
      </x:c>
      <x:c r="I8" s="14" t="str">
        <x:f>IF(OR(A8="",'02 Balance Sheet'!$B$2&lt;&gt;$A8),"",SUMIF('02 Balance Sheet'!$D:$D,"HKD",'02 Balance Sheet'!$H:$H))</x:f>
      </x:c>
      <x:c r="J8" s="12" t="str">
        <x:f>IF(A8="","",IF(COUNT(G8:I8)&lt;3,"Awaiting Month-End Snapshot",IF(OR(B8="",D8=""),"Awaiting Monthly Inputs","Ready to Close")))</x:f>
      </x:c>
      <x:c r="K8" s="22"/>
    </x:row>
    <x:row r="9" ht="19.5" customHeight="1">
      <x:c r="A9" s="25"/>
      <x:c r="B9" s="19"/>
      <x:c r="C9" s="19"/>
      <x:c r="D9" s="19"/>
      <x:c r="E9" s="19"/>
      <x:c r="F9" s="14" t="str">
        <x:f>IF(OR(A9="",B9="",D9=""),"",SUM(B9:C9)-N(D9)+N(E9))</x:f>
      </x:c>
      <x:c r="G9" s="14" t="str">
        <x:f>IF(OR(A9="",'02 Balance Sheet'!$B$2&lt;&gt;$A9),"",SUMIF('02 Balance Sheet'!$D:$D,"CNY",'02 Balance Sheet'!$H:$H))</x:f>
      </x:c>
      <x:c r="H9" s="14" t="str">
        <x:f>IF(OR(A9="",'02 Balance Sheet'!$B$2&lt;&gt;$A9),"",SUMIF('02 Balance Sheet'!$D:$D,"USD",'02 Balance Sheet'!$H:$H))</x:f>
      </x:c>
      <x:c r="I9" s="14" t="str">
        <x:f>IF(OR(A9="",'02 Balance Sheet'!$B$2&lt;&gt;$A9),"",SUMIF('02 Balance Sheet'!$D:$D,"HKD",'02 Balance Sheet'!$H:$H))</x:f>
      </x:c>
      <x:c r="J9" s="12" t="str">
        <x:f>IF(A9="","",IF(COUNT(G9:I9)&lt;3,"Awaiting Month-End Snapshot",IF(OR(B9="",D9=""),"Awaiting Monthly Inputs","Ready to Close")))</x:f>
      </x:c>
      <x:c r="K9" s="22"/>
    </x:row>
    <x:row r="10" ht="19.5" customHeight="1">
      <x:c r="A10" s="25"/>
      <x:c r="B10" s="19"/>
      <x:c r="C10" s="19"/>
      <x:c r="D10" s="19"/>
      <x:c r="E10" s="19"/>
      <x:c r="F10" s="14" t="str">
        <x:f>IF(OR(A10="",B10="",D10=""),"",SUM(B10:C10)-N(D10)+N(E10))</x:f>
      </x:c>
      <x:c r="G10" s="14" t="str">
        <x:f>IF(OR(A10="",'02 Balance Sheet'!$B$2&lt;&gt;$A10),"",SUMIF('02 Balance Sheet'!$D:$D,"CNY",'02 Balance Sheet'!$H:$H))</x:f>
      </x:c>
      <x:c r="H10" s="14" t="str">
        <x:f>IF(OR(A10="",'02 Balance Sheet'!$B$2&lt;&gt;$A10),"",SUMIF('02 Balance Sheet'!$D:$D,"USD",'02 Balance Sheet'!$H:$H))</x:f>
      </x:c>
      <x:c r="I10" s="14" t="str">
        <x:f>IF(OR(A10="",'02 Balance Sheet'!$B$2&lt;&gt;$A10),"",SUMIF('02 Balance Sheet'!$D:$D,"HKD",'02 Balance Sheet'!$H:$H))</x:f>
      </x:c>
      <x:c r="J10" s="12" t="str">
        <x:f>IF(A10="","",IF(COUNT(G10:I10)&lt;3,"Awaiting Month-End Snapshot",IF(OR(B10="",D10=""),"Awaiting Monthly Inputs","Ready to Close")))</x:f>
      </x:c>
      <x:c r="K10" s="22"/>
    </x:row>
    <x:row r="11" ht="19.5" customHeight="1">
      <x:c r="A11" s="25"/>
      <x:c r="B11" s="19"/>
      <x:c r="C11" s="19"/>
      <x:c r="D11" s="19"/>
      <x:c r="E11" s="19"/>
      <x:c r="F11" s="14" t="str">
        <x:f>IF(OR(A11="",B11="",D11=""),"",SUM(B11:C11)-N(D11)+N(E11))</x:f>
      </x:c>
      <x:c r="G11" s="14" t="str">
        <x:f>IF(OR(A11="",'02 Balance Sheet'!$B$2&lt;&gt;$A11),"",SUMIF('02 Balance Sheet'!$D:$D,"CNY",'02 Balance Sheet'!$H:$H))</x:f>
      </x:c>
      <x:c r="H11" s="14" t="str">
        <x:f>IF(OR(A11="",'02 Balance Sheet'!$B$2&lt;&gt;$A11),"",SUMIF('02 Balance Sheet'!$D:$D,"USD",'02 Balance Sheet'!$H:$H))</x:f>
      </x:c>
      <x:c r="I11" s="14" t="str">
        <x:f>IF(OR(A11="",'02 Balance Sheet'!$B$2&lt;&gt;$A11),"",SUMIF('02 Balance Sheet'!$D:$D,"HKD",'02 Balance Sheet'!$H:$H))</x:f>
      </x:c>
      <x:c r="J11" s="12" t="str">
        <x:f>IF(A11="","",IF(COUNT(G11:I11)&lt;3,"Awaiting Month-End Snapshot",IF(OR(B11="",D11=""),"Awaiting Monthly Inputs","Ready to Close")))</x:f>
      </x:c>
      <x:c r="K11" s="22"/>
    </x:row>
    <x:row r="12" ht="19.5" customHeight="1">
      <x:c r="A12" s="25"/>
      <x:c r="B12" s="19"/>
      <x:c r="C12" s="19"/>
      <x:c r="D12" s="19"/>
      <x:c r="E12" s="19"/>
      <x:c r="F12" s="14" t="str">
        <x:f>IF(OR(A12="",B12="",D12=""),"",SUM(B12:C12)-N(D12)+N(E12))</x:f>
      </x:c>
      <x:c r="G12" s="14" t="str">
        <x:f>IF(OR(A12="",'02 Balance Sheet'!$B$2&lt;&gt;$A12),"",SUMIF('02 Balance Sheet'!$D:$D,"CNY",'02 Balance Sheet'!$H:$H))</x:f>
      </x:c>
      <x:c r="H12" s="14" t="str">
        <x:f>IF(OR(A12="",'02 Balance Sheet'!$B$2&lt;&gt;$A12),"",SUMIF('02 Balance Sheet'!$D:$D,"USD",'02 Balance Sheet'!$H:$H))</x:f>
      </x:c>
      <x:c r="I12" s="14" t="str">
        <x:f>IF(OR(A12="",'02 Balance Sheet'!$B$2&lt;&gt;$A12),"",SUMIF('02 Balance Sheet'!$D:$D,"HKD",'02 Balance Sheet'!$H:$H))</x:f>
      </x:c>
      <x:c r="J12" s="12" t="str">
        <x:f>IF(A12="","",IF(COUNT(G12:I12)&lt;3,"Awaiting Month-End Snapshot",IF(OR(B12="",D12=""),"Awaiting Monthly Inputs","Ready to Close")))</x:f>
      </x:c>
      <x:c r="K12" s="22"/>
    </x:row>
    <x:row r="13" ht="19.5" customHeight="1">
      <x:c r="A13" s="25"/>
      <x:c r="B13" s="19"/>
      <x:c r="C13" s="19"/>
      <x:c r="D13" s="19"/>
      <x:c r="E13" s="19"/>
      <x:c r="F13" s="14" t="str">
        <x:f>IF(OR(A13="",B13="",D13=""),"",SUM(B13:C13)-N(D13)+N(E13))</x:f>
      </x:c>
      <x:c r="G13" s="14" t="str">
        <x:f>IF(OR(A13="",'02 Balance Sheet'!$B$2&lt;&gt;$A13),"",SUMIF('02 Balance Sheet'!$D:$D,"CNY",'02 Balance Sheet'!$H:$H))</x:f>
      </x:c>
      <x:c r="H13" s="14" t="str">
        <x:f>IF(OR(A13="",'02 Balance Sheet'!$B$2&lt;&gt;$A13),"",SUMIF('02 Balance Sheet'!$D:$D,"USD",'02 Balance Sheet'!$H:$H))</x:f>
      </x:c>
      <x:c r="I13" s="14" t="str">
        <x:f>IF(OR(A13="",'02 Balance Sheet'!$B$2&lt;&gt;$A13),"",SUMIF('02 Balance Sheet'!$D:$D,"HKD",'02 Balance Sheet'!$H:$H))</x:f>
      </x:c>
      <x:c r="J13" s="12" t="str">
        <x:f>IF(A13="","",IF(COUNT(G13:I13)&lt;3,"Awaiting Month-End Snapshot",IF(OR(B13="",D13=""),"Awaiting Monthly Inputs","Ready to Close")))</x:f>
      </x:c>
      <x:c r="K13" s="22"/>
    </x:row>
    <x:row r="14" ht="19.5" customHeight="1">
      <x:c r="A14" s="25"/>
      <x:c r="B14" s="19"/>
      <x:c r="C14" s="19"/>
      <x:c r="D14" s="19"/>
      <x:c r="E14" s="19"/>
      <x:c r="F14" s="14" t="str">
        <x:f>IF(OR(A14="",B14="",D14=""),"",SUM(B14:C14)-N(D14)+N(E14))</x:f>
      </x:c>
      <x:c r="G14" s="14" t="str">
        <x:f>IF(OR(A14="",'02 Balance Sheet'!$B$2&lt;&gt;$A14),"",SUMIF('02 Balance Sheet'!$D:$D,"CNY",'02 Balance Sheet'!$H:$H))</x:f>
      </x:c>
      <x:c r="H14" s="14" t="str">
        <x:f>IF(OR(A14="",'02 Balance Sheet'!$B$2&lt;&gt;$A14),"",SUMIF('02 Balance Sheet'!$D:$D,"USD",'02 Balance Sheet'!$H:$H))</x:f>
      </x:c>
      <x:c r="I14" s="14" t="str">
        <x:f>IF(OR(A14="",'02 Balance Sheet'!$B$2&lt;&gt;$A14),"",SUMIF('02 Balance Sheet'!$D:$D,"HKD",'02 Balance Sheet'!$H:$H))</x:f>
      </x:c>
      <x:c r="J14" s="12" t="str">
        <x:f>IF(A14="","",IF(COUNT(G14:I14)&lt;3,"Awaiting Month-End Snapshot",IF(OR(B14="",D14=""),"Awaiting Monthly Inputs","Ready to Close")))</x:f>
      </x:c>
      <x:c r="K14" s="22"/>
    </x:row>
    <x:row r="15" ht="19.5" customHeight="1">
      <x:c r="A15" s="25"/>
      <x:c r="B15" s="19"/>
      <x:c r="C15" s="19"/>
      <x:c r="D15" s="19"/>
      <x:c r="E15" s="19"/>
      <x:c r="F15" s="14" t="str">
        <x:f>IF(OR(A15="",B15="",D15=""),"",SUM(B15:C15)-N(D15)+N(E15))</x:f>
      </x:c>
      <x:c r="G15" s="14" t="str">
        <x:f>IF(OR(A15="",'02 Balance Sheet'!$B$2&lt;&gt;$A15),"",SUMIF('02 Balance Sheet'!$D:$D,"CNY",'02 Balance Sheet'!$H:$H))</x:f>
      </x:c>
      <x:c r="H15" s="14" t="str">
        <x:f>IF(OR(A15="",'02 Balance Sheet'!$B$2&lt;&gt;$A15),"",SUMIF('02 Balance Sheet'!$D:$D,"USD",'02 Balance Sheet'!$H:$H))</x:f>
      </x:c>
      <x:c r="I15" s="14" t="str">
        <x:f>IF(OR(A15="",'02 Balance Sheet'!$B$2&lt;&gt;$A15),"",SUMIF('02 Balance Sheet'!$D:$D,"HKD",'02 Balance Sheet'!$H:$H))</x:f>
      </x:c>
      <x:c r="J15" s="12" t="str">
        <x:f>IF(A15="","",IF(COUNT(G15:I15)&lt;3,"Awaiting Month-End Snapshot",IF(OR(B15="",D15=""),"Awaiting Monthly Inputs","Ready to Close")))</x:f>
      </x:c>
      <x:c r="K15" s="22"/>
    </x:row>
    <x:row r="16" ht="19.5" customHeight="1">
      <x:c r="A16" s="25"/>
      <x:c r="B16" s="19"/>
      <x:c r="C16" s="19"/>
      <x:c r="D16" s="19"/>
      <x:c r="E16" s="19"/>
      <x:c r="F16" s="14" t="str">
        <x:f>IF(OR(A16="",B16="",D16=""),"",SUM(B16:C16)-N(D16)+N(E16))</x:f>
      </x:c>
      <x:c r="G16" s="14" t="str">
        <x:f>IF(OR(A16="",'02 Balance Sheet'!$B$2&lt;&gt;$A16),"",SUMIF('02 Balance Sheet'!$D:$D,"CNY",'02 Balance Sheet'!$H:$H))</x:f>
      </x:c>
      <x:c r="H16" s="14" t="str">
        <x:f>IF(OR(A16="",'02 Balance Sheet'!$B$2&lt;&gt;$A16),"",SUMIF('02 Balance Sheet'!$D:$D,"USD",'02 Balance Sheet'!$H:$H))</x:f>
      </x:c>
      <x:c r="I16" s="14" t="str">
        <x:f>IF(OR(A16="",'02 Balance Sheet'!$B$2&lt;&gt;$A16),"",SUMIF('02 Balance Sheet'!$D:$D,"HKD",'02 Balance Sheet'!$H:$H))</x:f>
      </x:c>
      <x:c r="J16" s="12" t="str">
        <x:f>IF(A16="","",IF(COUNT(G16:I16)&lt;3,"Awaiting Month-End Snapshot",IF(OR(B16="",D16=""),"Awaiting Monthly Inputs","Ready to Close")))</x:f>
      </x:c>
      <x:c r="K16" s="22"/>
    </x:row>
    <x:row r="17" ht="19.5" customHeight="1">
      <x:c r="A17" s="25"/>
      <x:c r="B17" s="19"/>
      <x:c r="C17" s="19"/>
      <x:c r="D17" s="19"/>
      <x:c r="E17" s="19"/>
      <x:c r="F17" s="14" t="str">
        <x:f>IF(OR(A17="",B17="",D17=""),"",SUM(B17:C17)-N(D17)+N(E17))</x:f>
      </x:c>
      <x:c r="G17" s="14" t="str">
        <x:f>IF(OR(A17="",'02 Balance Sheet'!$B$2&lt;&gt;$A17),"",SUMIF('02 Balance Sheet'!$D:$D,"CNY",'02 Balance Sheet'!$H:$H))</x:f>
      </x:c>
      <x:c r="H17" s="14" t="str">
        <x:f>IF(OR(A17="",'02 Balance Sheet'!$B$2&lt;&gt;$A17),"",SUMIF('02 Balance Sheet'!$D:$D,"USD",'02 Balance Sheet'!$H:$H))</x:f>
      </x:c>
      <x:c r="I17" s="14" t="str">
        <x:f>IF(OR(A17="",'02 Balance Sheet'!$B$2&lt;&gt;$A17),"",SUMIF('02 Balance Sheet'!$D:$D,"HKD",'02 Balance Sheet'!$H:$H))</x:f>
      </x:c>
      <x:c r="J17" s="12" t="str">
        <x:f>IF(A17="","",IF(COUNT(G17:I17)&lt;3,"Awaiting Month-End Snapshot",IF(OR(B17="",D17=""),"Awaiting Monthly Inputs","Ready to Close")))</x:f>
      </x:c>
      <x:c r="K17" s="22"/>
    </x:row>
    <x:row r="18" ht="19.5" customHeight="1">
      <x:c r="A18" s="25"/>
      <x:c r="B18" s="19"/>
      <x:c r="C18" s="19"/>
      <x:c r="D18" s="19"/>
      <x:c r="E18" s="19"/>
      <x:c r="F18" s="14" t="str">
        <x:f>IF(OR(A18="",B18="",D18=""),"",SUM(B18:C18)-N(D18)+N(E18))</x:f>
      </x:c>
      <x:c r="G18" s="14" t="str">
        <x:f>IF(OR(A18="",'02 Balance Sheet'!$B$2&lt;&gt;$A18),"",SUMIF('02 Balance Sheet'!$D:$D,"CNY",'02 Balance Sheet'!$H:$H))</x:f>
      </x:c>
      <x:c r="H18" s="14" t="str">
        <x:f>IF(OR(A18="",'02 Balance Sheet'!$B$2&lt;&gt;$A18),"",SUMIF('02 Balance Sheet'!$D:$D,"USD",'02 Balance Sheet'!$H:$H))</x:f>
      </x:c>
      <x:c r="I18" s="14" t="str">
        <x:f>IF(OR(A18="",'02 Balance Sheet'!$B$2&lt;&gt;$A18),"",SUMIF('02 Balance Sheet'!$D:$D,"HKD",'02 Balance Sheet'!$H:$H))</x:f>
      </x:c>
      <x:c r="J18" s="12" t="str">
        <x:f>IF(A18="","",IF(COUNT(G18:I18)&lt;3,"Awaiting Month-End Snapshot",IF(OR(B18="",D18=""),"Awaiting Monthly Inputs","Ready to Close")))</x:f>
      </x:c>
      <x:c r="K18" s="22"/>
    </x:row>
    <x:row r="19" ht="19.5" customHeight="1">
      <x:c r="A19" s="25"/>
      <x:c r="B19" s="19"/>
      <x:c r="C19" s="19"/>
      <x:c r="D19" s="19"/>
      <x:c r="E19" s="19"/>
      <x:c r="F19" s="14" t="str">
        <x:f>IF(OR(A19="",B19="",D19=""),"",SUM(B19:C19)-N(D19)+N(E19))</x:f>
      </x:c>
      <x:c r="G19" s="14" t="str">
        <x:f>IF(OR(A19="",'02 Balance Sheet'!$B$2&lt;&gt;$A19),"",SUMIF('02 Balance Sheet'!$D:$D,"CNY",'02 Balance Sheet'!$H:$H))</x:f>
      </x:c>
      <x:c r="H19" s="14" t="str">
        <x:f>IF(OR(A19="",'02 Balance Sheet'!$B$2&lt;&gt;$A19),"",SUMIF('02 Balance Sheet'!$D:$D,"USD",'02 Balance Sheet'!$H:$H))</x:f>
      </x:c>
      <x:c r="I19" s="14" t="str">
        <x:f>IF(OR(A19="",'02 Balance Sheet'!$B$2&lt;&gt;$A19),"",SUMIF('02 Balance Sheet'!$D:$D,"HKD",'02 Balance Sheet'!$H:$H))</x:f>
      </x:c>
      <x:c r="J19" s="12" t="str">
        <x:f>IF(A19="","",IF(COUNT(G19:I19)&lt;3,"Awaiting Month-End Snapshot",IF(OR(B19="",D19=""),"Awaiting Monthly Inputs","Ready to Close")))</x:f>
      </x:c>
      <x:c r="K19" s="22"/>
    </x:row>
    <x:row r="20" ht="19.5" customHeight="1">
      <x:c r="A20" s="25"/>
      <x:c r="B20" s="19"/>
      <x:c r="C20" s="19"/>
      <x:c r="D20" s="19"/>
      <x:c r="E20" s="19"/>
      <x:c r="F20" s="14" t="str">
        <x:f>IF(OR(A20="",B20="",D20=""),"",SUM(B20:C20)-N(D20)+N(E20))</x:f>
      </x:c>
      <x:c r="G20" s="14" t="str">
        <x:f>IF(OR(A20="",'02 Balance Sheet'!$B$2&lt;&gt;$A20),"",SUMIF('02 Balance Sheet'!$D:$D,"CNY",'02 Balance Sheet'!$H:$H))</x:f>
      </x:c>
      <x:c r="H20" s="14" t="str">
        <x:f>IF(OR(A20="",'02 Balance Sheet'!$B$2&lt;&gt;$A20),"",SUMIF('02 Balance Sheet'!$D:$D,"USD",'02 Balance Sheet'!$H:$H))</x:f>
      </x:c>
      <x:c r="I20" s="14" t="str">
        <x:f>IF(OR(A20="",'02 Balance Sheet'!$B$2&lt;&gt;$A20),"",SUMIF('02 Balance Sheet'!$D:$D,"HKD",'02 Balance Sheet'!$H:$H))</x:f>
      </x:c>
      <x:c r="J20" s="12" t="str">
        <x:f>IF(A20="","",IF(COUNT(G20:I20)&lt;3,"Awaiting Month-End Snapshot",IF(OR(B20="",D20=""),"Awaiting Monthly Inputs","Ready to Close")))</x:f>
      </x:c>
      <x:c r="K20" s="22"/>
    </x:row>
    <x:row r="21" ht="19.5" customHeight="1">
      <x:c r="A21" s="25"/>
      <x:c r="B21" s="19"/>
      <x:c r="C21" s="19"/>
      <x:c r="D21" s="19"/>
      <x:c r="E21" s="19"/>
      <x:c r="F21" s="14" t="str">
        <x:f>IF(OR(A21="",B21="",D21=""),"",SUM(B21:C21)-N(D21)+N(E21))</x:f>
      </x:c>
      <x:c r="G21" s="14" t="str">
        <x:f>IF(OR(A21="",'02 Balance Sheet'!$B$2&lt;&gt;$A21),"",SUMIF('02 Balance Sheet'!$D:$D,"CNY",'02 Balance Sheet'!$H:$H))</x:f>
      </x:c>
      <x:c r="H21" s="14" t="str">
        <x:f>IF(OR(A21="",'02 Balance Sheet'!$B$2&lt;&gt;$A21),"",SUMIF('02 Balance Sheet'!$D:$D,"USD",'02 Balance Sheet'!$H:$H))</x:f>
      </x:c>
      <x:c r="I21" s="14" t="str">
        <x:f>IF(OR(A21="",'02 Balance Sheet'!$B$2&lt;&gt;$A21),"",SUMIF('02 Balance Sheet'!$D:$D,"HKD",'02 Balance Sheet'!$H:$H))</x:f>
      </x:c>
      <x:c r="J21" s="12" t="str">
        <x:f>IF(A21="","",IF(COUNT(G21:I21)&lt;3,"Awaiting Month-End Snapshot",IF(OR(B21="",D21=""),"Awaiting Monthly Inputs","Ready to Close")))</x:f>
      </x:c>
      <x:c r="K21" s="22"/>
    </x:row>
    <x:row r="22" ht="19.5" customHeight="1">
      <x:c r="A22" s="25"/>
      <x:c r="B22" s="19"/>
      <x:c r="C22" s="19"/>
      <x:c r="D22" s="19"/>
      <x:c r="E22" s="19"/>
      <x:c r="F22" s="14" t="str">
        <x:f>IF(OR(A22="",B22="",D22=""),"",SUM(B22:C22)-N(D22)+N(E22))</x:f>
      </x:c>
      <x:c r="G22" s="14" t="str">
        <x:f>IF(OR(A22="",'02 Balance Sheet'!$B$2&lt;&gt;$A22),"",SUMIF('02 Balance Sheet'!$D:$D,"CNY",'02 Balance Sheet'!$H:$H))</x:f>
      </x:c>
      <x:c r="H22" s="14" t="str">
        <x:f>IF(OR(A22="",'02 Balance Sheet'!$B$2&lt;&gt;$A22),"",SUMIF('02 Balance Sheet'!$D:$D,"USD",'02 Balance Sheet'!$H:$H))</x:f>
      </x:c>
      <x:c r="I22" s="14" t="str">
        <x:f>IF(OR(A22="",'02 Balance Sheet'!$B$2&lt;&gt;$A22),"",SUMIF('02 Balance Sheet'!$D:$D,"HKD",'02 Balance Sheet'!$H:$H))</x:f>
      </x:c>
      <x:c r="J22" s="12" t="str">
        <x:f>IF(A22="","",IF(COUNT(G22:I22)&lt;3,"Awaiting Month-End Snapshot",IF(OR(B22="",D22=""),"Awaiting Monthly Inputs","Ready to Close")))</x:f>
      </x:c>
      <x:c r="K22" s="22"/>
    </x:row>
    <x:row r="23" ht="19.5" customHeight="1">
      <x:c r="A23" s="25"/>
      <x:c r="B23" s="19"/>
      <x:c r="C23" s="19"/>
      <x:c r="D23" s="19"/>
      <x:c r="E23" s="19"/>
      <x:c r="F23" s="14" t="str">
        <x:f>IF(OR(A23="",B23="",D23=""),"",SUM(B23:C23)-N(D23)+N(E23))</x:f>
      </x:c>
      <x:c r="G23" s="14" t="str">
        <x:f>IF(OR(A23="",'02 Balance Sheet'!$B$2&lt;&gt;$A23),"",SUMIF('02 Balance Sheet'!$D:$D,"CNY",'02 Balance Sheet'!$H:$H))</x:f>
      </x:c>
      <x:c r="H23" s="14" t="str">
        <x:f>IF(OR(A23="",'02 Balance Sheet'!$B$2&lt;&gt;$A23),"",SUMIF('02 Balance Sheet'!$D:$D,"USD",'02 Balance Sheet'!$H:$H))</x:f>
      </x:c>
      <x:c r="I23" s="14" t="str">
        <x:f>IF(OR(A23="",'02 Balance Sheet'!$B$2&lt;&gt;$A23),"",SUMIF('02 Balance Sheet'!$D:$D,"HKD",'02 Balance Sheet'!$H:$H))</x:f>
      </x:c>
      <x:c r="J23" s="12" t="str">
        <x:f>IF(A23="","",IF(COUNT(G23:I23)&lt;3,"Awaiting Month-End Snapshot",IF(OR(B23="",D23=""),"Awaiting Monthly Inputs","Ready to Close")))</x:f>
      </x:c>
      <x:c r="K23" s="22"/>
    </x:row>
    <x:row r="24" ht="19.5" customHeight="1">
      <x:c r="A24" s="25"/>
      <x:c r="B24" s="19"/>
      <x:c r="C24" s="19"/>
      <x:c r="D24" s="19"/>
      <x:c r="E24" s="19"/>
      <x:c r="F24" s="14" t="str">
        <x:f>IF(OR(A24="",B24="",D24=""),"",SUM(B24:C24)-N(D24)+N(E24))</x:f>
      </x:c>
      <x:c r="G24" s="14" t="str">
        <x:f>IF(OR(A24="",'02 Balance Sheet'!$B$2&lt;&gt;$A24),"",SUMIF('02 Balance Sheet'!$D:$D,"CNY",'02 Balance Sheet'!$H:$H))</x:f>
      </x:c>
      <x:c r="H24" s="14" t="str">
        <x:f>IF(OR(A24="",'02 Balance Sheet'!$B$2&lt;&gt;$A24),"",SUMIF('02 Balance Sheet'!$D:$D,"USD",'02 Balance Sheet'!$H:$H))</x:f>
      </x:c>
      <x:c r="I24" s="14" t="str">
        <x:f>IF(OR(A24="",'02 Balance Sheet'!$B$2&lt;&gt;$A24),"",SUMIF('02 Balance Sheet'!$D:$D,"HKD",'02 Balance Sheet'!$H:$H))</x:f>
      </x:c>
      <x:c r="J24" s="12" t="str">
        <x:f>IF(A24="","",IF(COUNT(G24:I24)&lt;3,"Awaiting Month-End Snapshot",IF(OR(B24="",D24=""),"Awaiting Monthly Inputs","Ready to Close")))</x:f>
      </x:c>
      <x:c r="K24" s="22"/>
    </x:row>
    <x:row r="25" ht="19.5" customHeight="1">
      <x:c r="A25" s="25"/>
      <x:c r="B25" s="19"/>
      <x:c r="C25" s="19"/>
      <x:c r="D25" s="19"/>
      <x:c r="E25" s="19"/>
      <x:c r="F25" s="14" t="str">
        <x:f>IF(OR(A25="",B25="",D25=""),"",SUM(B25:C25)-N(D25)+N(E25))</x:f>
      </x:c>
      <x:c r="G25" s="14" t="str">
        <x:f>IF(OR(A25="",'02 Balance Sheet'!$B$2&lt;&gt;$A25),"",SUMIF('02 Balance Sheet'!$D:$D,"CNY",'02 Balance Sheet'!$H:$H))</x:f>
      </x:c>
      <x:c r="H25" s="14" t="str">
        <x:f>IF(OR(A25="",'02 Balance Sheet'!$B$2&lt;&gt;$A25),"",SUMIF('02 Balance Sheet'!$D:$D,"USD",'02 Balance Sheet'!$H:$H))</x:f>
      </x:c>
      <x:c r="I25" s="14" t="str">
        <x:f>IF(OR(A25="",'02 Balance Sheet'!$B$2&lt;&gt;$A25),"",SUMIF('02 Balance Sheet'!$D:$D,"HKD",'02 Balance Sheet'!$H:$H))</x:f>
      </x:c>
      <x:c r="J25" s="12" t="str">
        <x:f>IF(A25="","",IF(COUNT(G25:I25)&lt;3,"Awaiting Month-End Snapshot",IF(OR(B25="",D25=""),"Awaiting Monthly Inputs","Ready to Close")))</x:f>
      </x:c>
      <x:c r="K25" s="22"/>
    </x:row>
    <x:row r="26" ht="19.5" customHeight="1">
      <x:c r="A26" s="25"/>
      <x:c r="B26" s="19"/>
      <x:c r="C26" s="19"/>
      <x:c r="D26" s="19"/>
      <x:c r="E26" s="19"/>
      <x:c r="F26" s="14" t="str">
        <x:f>IF(OR(A26="",B26="",D26=""),"",SUM(B26:C26)-N(D26)+N(E26))</x:f>
      </x:c>
      <x:c r="G26" s="14" t="str">
        <x:f>IF(OR(A26="",'02 Balance Sheet'!$B$2&lt;&gt;$A26),"",SUMIF('02 Balance Sheet'!$D:$D,"CNY",'02 Balance Sheet'!$H:$H))</x:f>
      </x:c>
      <x:c r="H26" s="14" t="str">
        <x:f>IF(OR(A26="",'02 Balance Sheet'!$B$2&lt;&gt;$A26),"",SUMIF('02 Balance Sheet'!$D:$D,"USD",'02 Balance Sheet'!$H:$H))</x:f>
      </x:c>
      <x:c r="I26" s="14" t="str">
        <x:f>IF(OR(A26="",'02 Balance Sheet'!$B$2&lt;&gt;$A26),"",SUMIF('02 Balance Sheet'!$D:$D,"HKD",'02 Balance Sheet'!$H:$H))</x:f>
      </x:c>
      <x:c r="J26" s="12" t="str">
        <x:f>IF(A26="","",IF(COUNT(G26:I26)&lt;3,"Awaiting Month-End Snapshot",IF(OR(B26="",D26=""),"Awaiting Monthly Inputs","Ready to Close")))</x:f>
      </x:c>
      <x:c r="K26" s="22"/>
    </x:row>
    <x:row r="27" ht="19.5" customHeight="1">
      <x:c r="A27" s="25"/>
      <x:c r="B27" s="19"/>
      <x:c r="C27" s="19"/>
      <x:c r="D27" s="19"/>
      <x:c r="E27" s="19"/>
      <x:c r="F27" s="14" t="str">
        <x:f>IF(OR(A27="",B27="",D27=""),"",SUM(B27:C27)-N(D27)+N(E27))</x:f>
      </x:c>
      <x:c r="G27" s="14" t="str">
        <x:f>IF(OR(A27="",'02 Balance Sheet'!$B$2&lt;&gt;$A27),"",SUMIF('02 Balance Sheet'!$D:$D,"CNY",'02 Balance Sheet'!$H:$H))</x:f>
      </x:c>
      <x:c r="H27" s="14" t="str">
        <x:f>IF(OR(A27="",'02 Balance Sheet'!$B$2&lt;&gt;$A27),"",SUMIF('02 Balance Sheet'!$D:$D,"USD",'02 Balance Sheet'!$H:$H))</x:f>
      </x:c>
      <x:c r="I27" s="14" t="str">
        <x:f>IF(OR(A27="",'02 Balance Sheet'!$B$2&lt;&gt;$A27),"",SUMIF('02 Balance Sheet'!$D:$D,"HKD",'02 Balance Sheet'!$H:$H))</x:f>
      </x:c>
      <x:c r="J27" s="12" t="str">
        <x:f>IF(A27="","",IF(COUNT(G27:I27)&lt;3,"Awaiting Month-End Snapshot",IF(OR(B27="",D27=""),"Awaiting Monthly Inputs","Ready to Close")))</x:f>
      </x:c>
      <x:c r="K27" s="22"/>
    </x:row>
    <x:row r="28" ht="19.5" customHeight="1">
      <x:c r="A28" s="25"/>
      <x:c r="B28" s="19"/>
      <x:c r="C28" s="19"/>
      <x:c r="D28" s="19"/>
      <x:c r="E28" s="19"/>
      <x:c r="F28" s="14" t="str">
        <x:f>IF(OR(A28="",B28="",D28=""),"",SUM(B28:C28)-N(D28)+N(E28))</x:f>
      </x:c>
      <x:c r="G28" s="14" t="str">
        <x:f>IF(OR(A28="",'02 Balance Sheet'!$B$2&lt;&gt;$A28),"",SUMIF('02 Balance Sheet'!$D:$D,"CNY",'02 Balance Sheet'!$H:$H))</x:f>
      </x:c>
      <x:c r="H28" s="14" t="str">
        <x:f>IF(OR(A28="",'02 Balance Sheet'!$B$2&lt;&gt;$A28),"",SUMIF('02 Balance Sheet'!$D:$D,"USD",'02 Balance Sheet'!$H:$H))</x:f>
      </x:c>
      <x:c r="I28" s="14" t="str">
        <x:f>IF(OR(A28="",'02 Balance Sheet'!$B$2&lt;&gt;$A28),"",SUMIF('02 Balance Sheet'!$D:$D,"HKD",'02 Balance Sheet'!$H:$H))</x:f>
      </x:c>
      <x:c r="J28" s="12" t="str">
        <x:f>IF(A28="","",IF(COUNT(G28:I28)&lt;3,"Awaiting Month-End Snapshot",IF(OR(B28="",D28=""),"Awaiting Monthly Inputs","Ready to Close")))</x:f>
      </x:c>
      <x:c r="K28" s="22"/>
    </x:row>
    <x:row r="29" ht="19.5" customHeight="1">
      <x:c r="A29" s="25"/>
      <x:c r="B29" s="19"/>
      <x:c r="C29" s="19"/>
      <x:c r="D29" s="19"/>
      <x:c r="E29" s="19"/>
      <x:c r="F29" s="14" t="str">
        <x:f>IF(OR(A29="",B29="",D29=""),"",SUM(B29:C29)-N(D29)+N(E29))</x:f>
      </x:c>
      <x:c r="G29" s="14" t="str">
        <x:f>IF(OR(A29="",'02 Balance Sheet'!$B$2&lt;&gt;$A29),"",SUMIF('02 Balance Sheet'!$D:$D,"CNY",'02 Balance Sheet'!$H:$H))</x:f>
      </x:c>
      <x:c r="H29" s="14" t="str">
        <x:f>IF(OR(A29="",'02 Balance Sheet'!$B$2&lt;&gt;$A29),"",SUMIF('02 Balance Sheet'!$D:$D,"USD",'02 Balance Sheet'!$H:$H))</x:f>
      </x:c>
      <x:c r="I29" s="14" t="str">
        <x:f>IF(OR(A29="",'02 Balance Sheet'!$B$2&lt;&gt;$A29),"",SUMIF('02 Balance Sheet'!$D:$D,"HKD",'02 Balance Sheet'!$H:$H))</x:f>
      </x:c>
      <x:c r="J29" s="12" t="str">
        <x:f>IF(A29="","",IF(COUNT(G29:I29)&lt;3,"Awaiting Month-End Snapshot",IF(OR(B29="",D29=""),"Awaiting Monthly Inputs","Ready to Close")))</x:f>
      </x:c>
      <x:c r="K29" s="22"/>
    </x:row>
    <x:row r="30" ht="19.5" customHeight="1">
      <x:c r="A30" s="25"/>
      <x:c r="B30" s="19"/>
      <x:c r="C30" s="19"/>
      <x:c r="D30" s="19"/>
      <x:c r="E30" s="19"/>
      <x:c r="F30" s="14" t="str">
        <x:f>IF(OR(A30="",B30="",D30=""),"",SUM(B30:C30)-N(D30)+N(E30))</x:f>
      </x:c>
      <x:c r="G30" s="14" t="str">
        <x:f>IF(OR(A30="",'02 Balance Sheet'!$B$2&lt;&gt;$A30),"",SUMIF('02 Balance Sheet'!$D:$D,"CNY",'02 Balance Sheet'!$H:$H))</x:f>
      </x:c>
      <x:c r="H30" s="14" t="str">
        <x:f>IF(OR(A30="",'02 Balance Sheet'!$B$2&lt;&gt;$A30),"",SUMIF('02 Balance Sheet'!$D:$D,"USD",'02 Balance Sheet'!$H:$H))</x:f>
      </x:c>
      <x:c r="I30" s="14" t="str">
        <x:f>IF(OR(A30="",'02 Balance Sheet'!$B$2&lt;&gt;$A30),"",SUMIF('02 Balance Sheet'!$D:$D,"HKD",'02 Balance Sheet'!$H:$H))</x:f>
      </x:c>
      <x:c r="J30" s="12" t="str">
        <x:f>IF(A30="","",IF(COUNT(G30:I30)&lt;3,"Awaiting Month-End Snapshot",IF(OR(B30="",D30=""),"Awaiting Monthly Inputs","Ready to Close")))</x:f>
      </x:c>
      <x:c r="K30" s="22"/>
    </x:row>
    <x:row r="31" ht="19.5" customHeight="1">
      <x:c r="A31" s="25"/>
      <x:c r="B31" s="19"/>
      <x:c r="C31" s="19"/>
      <x:c r="D31" s="19"/>
      <x:c r="E31" s="19"/>
      <x:c r="F31" s="14" t="str">
        <x:f>IF(OR(A31="",B31="",D31=""),"",SUM(B31:C31)-N(D31)+N(E31))</x:f>
      </x:c>
      <x:c r="G31" s="14" t="str">
        <x:f>IF(OR(A31="",'02 Balance Sheet'!$B$2&lt;&gt;$A31),"",SUMIF('02 Balance Sheet'!$D:$D,"CNY",'02 Balance Sheet'!$H:$H))</x:f>
      </x:c>
      <x:c r="H31" s="14" t="str">
        <x:f>IF(OR(A31="",'02 Balance Sheet'!$B$2&lt;&gt;$A31),"",SUMIF('02 Balance Sheet'!$D:$D,"USD",'02 Balance Sheet'!$H:$H))</x:f>
      </x:c>
      <x:c r="I31" s="14" t="str">
        <x:f>IF(OR(A31="",'02 Balance Sheet'!$B$2&lt;&gt;$A31),"",SUMIF('02 Balance Sheet'!$D:$D,"HKD",'02 Balance Sheet'!$H:$H))</x:f>
      </x:c>
      <x:c r="J31" s="12" t="str">
        <x:f>IF(A31="","",IF(COUNT(G31:I31)&lt;3,"Awaiting Month-End Snapshot",IF(OR(B31="",D31=""),"Awaiting Monthly Inputs","Ready to Close")))</x:f>
      </x:c>
      <x:c r="K31" s="22"/>
    </x:row>
    <x:row r="32" ht="19.5" customHeight="1">
      <x:c r="A32" s="25"/>
      <x:c r="B32" s="19"/>
      <x:c r="C32" s="19"/>
      <x:c r="D32" s="19"/>
      <x:c r="E32" s="19"/>
      <x:c r="F32" s="14" t="str">
        <x:f>IF(OR(A32="",B32="",D32=""),"",SUM(B32:C32)-N(D32)+N(E32))</x:f>
      </x:c>
      <x:c r="G32" s="14" t="str">
        <x:f>IF(OR(A32="",'02 Balance Sheet'!$B$2&lt;&gt;$A32),"",SUMIF('02 Balance Sheet'!$D:$D,"CNY",'02 Balance Sheet'!$H:$H))</x:f>
      </x:c>
      <x:c r="H32" s="14" t="str">
        <x:f>IF(OR(A32="",'02 Balance Sheet'!$B$2&lt;&gt;$A32),"",SUMIF('02 Balance Sheet'!$D:$D,"USD",'02 Balance Sheet'!$H:$H))</x:f>
      </x:c>
      <x:c r="I32" s="14" t="str">
        <x:f>IF(OR(A32="",'02 Balance Sheet'!$B$2&lt;&gt;$A32),"",SUMIF('02 Balance Sheet'!$D:$D,"HKD",'02 Balance Sheet'!$H:$H))</x:f>
      </x:c>
      <x:c r="J32" s="12" t="str">
        <x:f>IF(A32="","",IF(COUNT(G32:I32)&lt;3,"Awaiting Month-End Snapshot",IF(OR(B32="",D32=""),"Awaiting Monthly Inputs","Ready to Close")))</x:f>
      </x:c>
      <x:c r="K32" s="22"/>
    </x:row>
    <x:row r="33" ht="19.5" customHeight="1">
      <x:c r="A33" s="25"/>
      <x:c r="B33" s="19"/>
      <x:c r="C33" s="19"/>
      <x:c r="D33" s="19"/>
      <x:c r="E33" s="19"/>
      <x:c r="F33" s="14" t="str">
        <x:f>IF(OR(A33="",B33="",D33=""),"",SUM(B33:C33)-N(D33)+N(E33))</x:f>
      </x:c>
      <x:c r="G33" s="14" t="str">
        <x:f>IF(OR(A33="",'02 Balance Sheet'!$B$2&lt;&gt;$A33),"",SUMIF('02 Balance Sheet'!$D:$D,"CNY",'02 Balance Sheet'!$H:$H))</x:f>
      </x:c>
      <x:c r="H33" s="14" t="str">
        <x:f>IF(OR(A33="",'02 Balance Sheet'!$B$2&lt;&gt;$A33),"",SUMIF('02 Balance Sheet'!$D:$D,"USD",'02 Balance Sheet'!$H:$H))</x:f>
      </x:c>
      <x:c r="I33" s="14" t="str">
        <x:f>IF(OR(A33="",'02 Balance Sheet'!$B$2&lt;&gt;$A33),"",SUMIF('02 Balance Sheet'!$D:$D,"HKD",'02 Balance Sheet'!$H:$H))</x:f>
      </x:c>
      <x:c r="J33" s="12" t="str">
        <x:f>IF(A33="","",IF(COUNT(G33:I33)&lt;3,"Awaiting Month-End Snapshot",IF(OR(B33="",D33=""),"Awaiting Monthly Inputs","Ready to Close")))</x:f>
      </x:c>
      <x:c r="K33" s="22"/>
    </x:row>
    <x:row r="34" ht="19.5" customHeight="1">
      <x:c r="A34" s="25"/>
      <x:c r="B34" s="19"/>
      <x:c r="C34" s="19"/>
      <x:c r="D34" s="19"/>
      <x:c r="E34" s="19"/>
      <x:c r="F34" s="14" t="str">
        <x:f>IF(OR(A34="",B34="",D34=""),"",SUM(B34:C34)-N(D34)+N(E34))</x:f>
      </x:c>
      <x:c r="G34" s="14" t="str">
        <x:f>IF(OR(A34="",'02 Balance Sheet'!$B$2&lt;&gt;$A34),"",SUMIF('02 Balance Sheet'!$D:$D,"CNY",'02 Balance Sheet'!$H:$H))</x:f>
      </x:c>
      <x:c r="H34" s="14" t="str">
        <x:f>IF(OR(A34="",'02 Balance Sheet'!$B$2&lt;&gt;$A34),"",SUMIF('02 Balance Sheet'!$D:$D,"USD",'02 Balance Sheet'!$H:$H))</x:f>
      </x:c>
      <x:c r="I34" s="14" t="str">
        <x:f>IF(OR(A34="",'02 Balance Sheet'!$B$2&lt;&gt;$A34),"",SUMIF('02 Balance Sheet'!$D:$D,"HKD",'02 Balance Sheet'!$H:$H))</x:f>
      </x:c>
      <x:c r="J34" s="12" t="str">
        <x:f>IF(A34="","",IF(COUNT(G34:I34)&lt;3,"Awaiting Month-End Snapshot",IF(OR(B34="",D34=""),"Awaiting Monthly Inputs","Ready to Close")))</x:f>
      </x:c>
      <x:c r="K34" s="22"/>
    </x:row>
    <x:row r="35" ht="19.5" customHeight="1">
      <x:c r="A35" s="25"/>
      <x:c r="B35" s="19"/>
      <x:c r="C35" s="19"/>
      <x:c r="D35" s="19"/>
      <x:c r="E35" s="19"/>
      <x:c r="F35" s="14" t="str">
        <x:f>IF(OR(A35="",B35="",D35=""),"",SUM(B35:C35)-N(D35)+N(E35))</x:f>
      </x:c>
      <x:c r="G35" s="14" t="str">
        <x:f>IF(OR(A35="",'02 Balance Sheet'!$B$2&lt;&gt;$A35),"",SUMIF('02 Balance Sheet'!$D:$D,"CNY",'02 Balance Sheet'!$H:$H))</x:f>
      </x:c>
      <x:c r="H35" s="14" t="str">
        <x:f>IF(OR(A35="",'02 Balance Sheet'!$B$2&lt;&gt;$A35),"",SUMIF('02 Balance Sheet'!$D:$D,"USD",'02 Balance Sheet'!$H:$H))</x:f>
      </x:c>
      <x:c r="I35" s="14" t="str">
        <x:f>IF(OR(A35="",'02 Balance Sheet'!$B$2&lt;&gt;$A35),"",SUMIF('02 Balance Sheet'!$D:$D,"HKD",'02 Balance Sheet'!$H:$H))</x:f>
      </x:c>
      <x:c r="J35" s="12" t="str">
        <x:f>IF(A35="","",IF(COUNT(G35:I35)&lt;3,"Awaiting Month-End Snapshot",IF(OR(B35="",D35=""),"Awaiting Monthly Inputs","Ready to Close")))</x:f>
      </x:c>
      <x:c r="K35" s="22"/>
    </x:row>
    <x:row r="36" ht="19.5" customHeight="1">
      <x:c r="A36" s="25"/>
      <x:c r="B36" s="19"/>
      <x:c r="C36" s="19"/>
      <x:c r="D36" s="19"/>
      <x:c r="E36" s="19"/>
      <x:c r="F36" s="14" t="str">
        <x:f>IF(OR(A36="",B36="",D36=""),"",SUM(B36:C36)-N(D36)+N(E36))</x:f>
      </x:c>
      <x:c r="G36" s="14" t="str">
        <x:f>IF(OR(A36="",'02 Balance Sheet'!$B$2&lt;&gt;$A36),"",SUMIF('02 Balance Sheet'!$D:$D,"CNY",'02 Balance Sheet'!$H:$H))</x:f>
      </x:c>
      <x:c r="H36" s="14" t="str">
        <x:f>IF(OR(A36="",'02 Balance Sheet'!$B$2&lt;&gt;$A36),"",SUMIF('02 Balance Sheet'!$D:$D,"USD",'02 Balance Sheet'!$H:$H))</x:f>
      </x:c>
      <x:c r="I36" s="14" t="str">
        <x:f>IF(OR(A36="",'02 Balance Sheet'!$B$2&lt;&gt;$A36),"",SUMIF('02 Balance Sheet'!$D:$D,"HKD",'02 Balance Sheet'!$H:$H))</x:f>
      </x:c>
      <x:c r="J36" s="12" t="str">
        <x:f>IF(A36="","",IF(COUNT(G36:I36)&lt;3,"Awaiting Month-End Snapshot",IF(OR(B36="",D36=""),"Awaiting Monthly Inputs","Ready to Close")))</x:f>
      </x:c>
      <x:c r="K36" s="22"/>
    </x:row>
    <x:row r="37" ht="19.5" customHeight="1">
      <x:c r="A37" s="25"/>
      <x:c r="B37" s="19"/>
      <x:c r="C37" s="19"/>
      <x:c r="D37" s="19"/>
      <x:c r="E37" s="19"/>
      <x:c r="F37" s="14" t="str">
        <x:f>IF(OR(A37="",B37="",D37=""),"",SUM(B37:C37)-N(D37)+N(E37))</x:f>
      </x:c>
      <x:c r="G37" s="14" t="str">
        <x:f>IF(OR(A37="",'02 Balance Sheet'!$B$2&lt;&gt;$A37),"",SUMIF('02 Balance Sheet'!$D:$D,"CNY",'02 Balance Sheet'!$H:$H))</x:f>
      </x:c>
      <x:c r="H37" s="14" t="str">
        <x:f>IF(OR(A37="",'02 Balance Sheet'!$B$2&lt;&gt;$A37),"",SUMIF('02 Balance Sheet'!$D:$D,"USD",'02 Balance Sheet'!$H:$H))</x:f>
      </x:c>
      <x:c r="I37" s="14" t="str">
        <x:f>IF(OR(A37="",'02 Balance Sheet'!$B$2&lt;&gt;$A37),"",SUMIF('02 Balance Sheet'!$D:$D,"HKD",'02 Balance Sheet'!$H:$H))</x:f>
      </x:c>
      <x:c r="J37" s="12" t="str">
        <x:f>IF(A37="","",IF(COUNT(G37:I37)&lt;3,"Awaiting Month-End Snapshot",IF(OR(B37="",D37=""),"Awaiting Monthly Inputs","Ready to Close")))</x:f>
      </x:c>
      <x:c r="K37" s="22"/>
    </x:row>
    <x:row r="38" ht="19.5" customHeight="1">
      <x:c r="A38" s="25"/>
      <x:c r="B38" s="19"/>
      <x:c r="C38" s="19"/>
      <x:c r="D38" s="19"/>
      <x:c r="E38" s="19"/>
      <x:c r="F38" s="14" t="str">
        <x:f>IF(OR(A38="",B38="",D38=""),"",SUM(B38:C38)-N(D38)+N(E38))</x:f>
      </x:c>
      <x:c r="G38" s="14" t="str">
        <x:f>IF(OR(A38="",'02 Balance Sheet'!$B$2&lt;&gt;$A38),"",SUMIF('02 Balance Sheet'!$D:$D,"CNY",'02 Balance Sheet'!$H:$H))</x:f>
      </x:c>
      <x:c r="H38" s="14" t="str">
        <x:f>IF(OR(A38="",'02 Balance Sheet'!$B$2&lt;&gt;$A38),"",SUMIF('02 Balance Sheet'!$D:$D,"USD",'02 Balance Sheet'!$H:$H))</x:f>
      </x:c>
      <x:c r="I38" s="14" t="str">
        <x:f>IF(OR(A38="",'02 Balance Sheet'!$B$2&lt;&gt;$A38),"",SUMIF('02 Balance Sheet'!$D:$D,"HKD",'02 Balance Sheet'!$H:$H))</x:f>
      </x:c>
      <x:c r="J38" s="12" t="str">
        <x:f>IF(A38="","",IF(COUNT(G38:I38)&lt;3,"Awaiting Month-End Snapshot",IF(OR(B38="",D38=""),"Awaiting Monthly Inputs","Ready to Close")))</x:f>
      </x:c>
      <x:c r="K38" s="22"/>
    </x:row>
    <x:row r="39" ht="19.5" customHeight="1">
      <x:c r="A39" s="25"/>
      <x:c r="B39" s="19"/>
      <x:c r="C39" s="19"/>
      <x:c r="D39" s="19"/>
      <x:c r="E39" s="19"/>
      <x:c r="F39" s="14" t="str">
        <x:f>IF(OR(A39="",B39="",D39=""),"",SUM(B39:C39)-N(D39)+N(E39))</x:f>
      </x:c>
      <x:c r="G39" s="14" t="str">
        <x:f>IF(OR(A39="",'02 Balance Sheet'!$B$2&lt;&gt;$A39),"",SUMIF('02 Balance Sheet'!$D:$D,"CNY",'02 Balance Sheet'!$H:$H))</x:f>
      </x:c>
      <x:c r="H39" s="14" t="str">
        <x:f>IF(OR(A39="",'02 Balance Sheet'!$B$2&lt;&gt;$A39),"",SUMIF('02 Balance Sheet'!$D:$D,"USD",'02 Balance Sheet'!$H:$H))</x:f>
      </x:c>
      <x:c r="I39" s="14" t="str">
        <x:f>IF(OR(A39="",'02 Balance Sheet'!$B$2&lt;&gt;$A39),"",SUMIF('02 Balance Sheet'!$D:$D,"HKD",'02 Balance Sheet'!$H:$H))</x:f>
      </x:c>
      <x:c r="J39" s="12" t="str">
        <x:f>IF(A39="","",IF(COUNT(G39:I39)&lt;3,"Awaiting Month-End Snapshot",IF(OR(B39="",D39=""),"Awaiting Monthly Inputs","Ready to Close")))</x:f>
      </x:c>
      <x:c r="K39" s="22"/>
    </x:row>
    <x:row r="40" ht="19.5" customHeight="1">
      <x:c r="A40" s="25"/>
      <x:c r="B40" s="19"/>
      <x:c r="C40" s="19"/>
      <x:c r="D40" s="19"/>
      <x:c r="E40" s="19"/>
      <x:c r="F40" s="14" t="str">
        <x:f>IF(OR(A40="",B40="",D40=""),"",SUM(B40:C40)-N(D40)+N(E40))</x:f>
      </x:c>
      <x:c r="G40" s="14" t="str">
        <x:f>IF(OR(A40="",'02 Balance Sheet'!$B$2&lt;&gt;$A40),"",SUMIF('02 Balance Sheet'!$D:$D,"CNY",'02 Balance Sheet'!$H:$H))</x:f>
      </x:c>
      <x:c r="H40" s="14" t="str">
        <x:f>IF(OR(A40="",'02 Balance Sheet'!$B$2&lt;&gt;$A40),"",SUMIF('02 Balance Sheet'!$D:$D,"USD",'02 Balance Sheet'!$H:$H))</x:f>
      </x:c>
      <x:c r="I40" s="14" t="str">
        <x:f>IF(OR(A40="",'02 Balance Sheet'!$B$2&lt;&gt;$A40),"",SUMIF('02 Balance Sheet'!$D:$D,"HKD",'02 Balance Sheet'!$H:$H))</x:f>
      </x:c>
      <x:c r="J40" s="12" t="str">
        <x:f>IF(A40="","",IF(COUNT(G40:I40)&lt;3,"Awaiting Month-End Snapshot",IF(OR(B40="",D40=""),"Awaiting Monthly Inputs","Ready to Close")))</x:f>
      </x:c>
      <x:c r="K40" s="22"/>
    </x:row>
    <x:row r="41" ht="19.5" customHeight="1">
      <x:c r="A41" s="25"/>
      <x:c r="B41" s="19"/>
      <x:c r="C41" s="19"/>
      <x:c r="D41" s="19"/>
      <x:c r="E41" s="19"/>
      <x:c r="F41" s="14" t="str">
        <x:f>IF(OR(A41="",B41="",D41=""),"",SUM(B41:C41)-N(D41)+N(E41))</x:f>
      </x:c>
      <x:c r="G41" s="14" t="str">
        <x:f>IF(OR(A41="",'02 Balance Sheet'!$B$2&lt;&gt;$A41),"",SUMIF('02 Balance Sheet'!$D:$D,"CNY",'02 Balance Sheet'!$H:$H))</x:f>
      </x:c>
      <x:c r="H41" s="14" t="str">
        <x:f>IF(OR(A41="",'02 Balance Sheet'!$B$2&lt;&gt;$A41),"",SUMIF('02 Balance Sheet'!$D:$D,"USD",'02 Balance Sheet'!$H:$H))</x:f>
      </x:c>
      <x:c r="I41" s="14" t="str">
        <x:f>IF(OR(A41="",'02 Balance Sheet'!$B$2&lt;&gt;$A41),"",SUMIF('02 Balance Sheet'!$D:$D,"HKD",'02 Balance Sheet'!$H:$H))</x:f>
      </x:c>
      <x:c r="J41" s="12" t="str">
        <x:f>IF(A41="","",IF(COUNT(G41:I41)&lt;3,"Awaiting Month-End Snapshot",IF(OR(B41="",D41=""),"Awaiting Monthly Inputs","Ready to Close")))</x:f>
      </x:c>
      <x:c r="K41" s="22"/>
    </x:row>
    <x:row r="42" ht="19.5" customHeight="1">
      <x:c r="A42" s="25"/>
      <x:c r="B42" s="19"/>
      <x:c r="C42" s="19"/>
      <x:c r="D42" s="19"/>
      <x:c r="E42" s="19"/>
      <x:c r="F42" s="14" t="str">
        <x:f>IF(OR(A42="",B42="",D42=""),"",SUM(B42:C42)-N(D42)+N(E42))</x:f>
      </x:c>
      <x:c r="G42" s="14" t="str">
        <x:f>IF(OR(A42="",'02 Balance Sheet'!$B$2&lt;&gt;$A42),"",SUMIF('02 Balance Sheet'!$D:$D,"CNY",'02 Balance Sheet'!$H:$H))</x:f>
      </x:c>
      <x:c r="H42" s="14" t="str">
        <x:f>IF(OR(A42="",'02 Balance Sheet'!$B$2&lt;&gt;$A42),"",SUMIF('02 Balance Sheet'!$D:$D,"USD",'02 Balance Sheet'!$H:$H))</x:f>
      </x:c>
      <x:c r="I42" s="14" t="str">
        <x:f>IF(OR(A42="",'02 Balance Sheet'!$B$2&lt;&gt;$A42),"",SUMIF('02 Balance Sheet'!$D:$D,"HKD",'02 Balance Sheet'!$H:$H))</x:f>
      </x:c>
      <x:c r="J42" s="12" t="str">
        <x:f>IF(A42="","",IF(COUNT(G42:I42)&lt;3,"Awaiting Month-End Snapshot",IF(OR(B42="",D42=""),"Awaiting Monthly Inputs","Ready to Close")))</x:f>
      </x:c>
      <x:c r="K42" s="22"/>
    </x:row>
    <x:row r="43" ht="19.5" customHeight="1">
      <x:c r="A43" s="25"/>
      <x:c r="B43" s="19"/>
      <x:c r="C43" s="19"/>
      <x:c r="D43" s="19"/>
      <x:c r="E43" s="19"/>
      <x:c r="F43" s="14" t="str">
        <x:f>IF(OR(A43="",B43="",D43=""),"",SUM(B43:C43)-N(D43)+N(E43))</x:f>
      </x:c>
      <x:c r="G43" s="14" t="str">
        <x:f>IF(OR(A43="",'02 Balance Sheet'!$B$2&lt;&gt;$A43),"",SUMIF('02 Balance Sheet'!$D:$D,"CNY",'02 Balance Sheet'!$H:$H))</x:f>
      </x:c>
      <x:c r="H43" s="14" t="str">
        <x:f>IF(OR(A43="",'02 Balance Sheet'!$B$2&lt;&gt;$A43),"",SUMIF('02 Balance Sheet'!$D:$D,"USD",'02 Balance Sheet'!$H:$H))</x:f>
      </x:c>
      <x:c r="I43" s="14" t="str">
        <x:f>IF(OR(A43="",'02 Balance Sheet'!$B$2&lt;&gt;$A43),"",SUMIF('02 Balance Sheet'!$D:$D,"HKD",'02 Balance Sheet'!$H:$H))</x:f>
      </x:c>
      <x:c r="J43" s="12" t="str">
        <x:f>IF(A43="","",IF(COUNT(G43:I43)&lt;3,"Awaiting Month-End Snapshot",IF(OR(B43="",D43=""),"Awaiting Monthly Inputs","Ready to Close")))</x:f>
      </x:c>
      <x:c r="K43" s="22"/>
    </x:row>
    <x:row r="44" ht="19.5" customHeight="1">
      <x:c r="A44" s="25"/>
      <x:c r="B44" s="19"/>
      <x:c r="C44" s="19"/>
      <x:c r="D44" s="19"/>
      <x:c r="E44" s="19"/>
      <x:c r="F44" s="14" t="str">
        <x:f>IF(OR(A44="",B44="",D44=""),"",SUM(B44:C44)-N(D44)+N(E44))</x:f>
      </x:c>
      <x:c r="G44" s="14" t="str">
        <x:f>IF(OR(A44="",'02 Balance Sheet'!$B$2&lt;&gt;$A44),"",SUMIF('02 Balance Sheet'!$D:$D,"CNY",'02 Balance Sheet'!$H:$H))</x:f>
      </x:c>
      <x:c r="H44" s="14" t="str">
        <x:f>IF(OR(A44="",'02 Balance Sheet'!$B$2&lt;&gt;$A44),"",SUMIF('02 Balance Sheet'!$D:$D,"USD",'02 Balance Sheet'!$H:$H))</x:f>
      </x:c>
      <x:c r="I44" s="14" t="str">
        <x:f>IF(OR(A44="",'02 Balance Sheet'!$B$2&lt;&gt;$A44),"",SUMIF('02 Balance Sheet'!$D:$D,"HKD",'02 Balance Sheet'!$H:$H))</x:f>
      </x:c>
      <x:c r="J44" s="12" t="str">
        <x:f>IF(A44="","",IF(COUNT(G44:I44)&lt;3,"Awaiting Month-End Snapshot",IF(OR(B44="",D44=""),"Awaiting Monthly Inputs","Ready to Close")))</x:f>
      </x:c>
      <x:c r="K44" s="22"/>
    </x:row>
    <x:row r="45" ht="19.5" customHeight="1">
      <x:c r="A45" s="25"/>
      <x:c r="B45" s="19"/>
      <x:c r="C45" s="19"/>
      <x:c r="D45" s="19"/>
      <x:c r="E45" s="19"/>
      <x:c r="F45" s="14" t="str">
        <x:f>IF(OR(A45="",B45="",D45=""),"",SUM(B45:C45)-N(D45)+N(E45))</x:f>
      </x:c>
      <x:c r="G45" s="14" t="str">
        <x:f>IF(OR(A45="",'02 Balance Sheet'!$B$2&lt;&gt;$A45),"",SUMIF('02 Balance Sheet'!$D:$D,"CNY",'02 Balance Sheet'!$H:$H))</x:f>
      </x:c>
      <x:c r="H45" s="14" t="str">
        <x:f>IF(OR(A45="",'02 Balance Sheet'!$B$2&lt;&gt;$A45),"",SUMIF('02 Balance Sheet'!$D:$D,"USD",'02 Balance Sheet'!$H:$H))</x:f>
      </x:c>
      <x:c r="I45" s="14" t="str">
        <x:f>IF(OR(A45="",'02 Balance Sheet'!$B$2&lt;&gt;$A45),"",SUMIF('02 Balance Sheet'!$D:$D,"HKD",'02 Balance Sheet'!$H:$H))</x:f>
      </x:c>
      <x:c r="J45" s="12" t="str">
        <x:f>IF(A45="","",IF(COUNT(G45:I45)&lt;3,"Awaiting Month-End Snapshot",IF(OR(B45="",D45=""),"Awaiting Monthly Inputs","Ready to Close")))</x:f>
      </x:c>
      <x:c r="K45" s="22"/>
    </x:row>
    <x:row r="46" ht="19.5" customHeight="1">
      <x:c r="A46" s="25"/>
      <x:c r="B46" s="19"/>
      <x:c r="C46" s="19"/>
      <x:c r="D46" s="19"/>
      <x:c r="E46" s="19"/>
      <x:c r="F46" s="14" t="str">
        <x:f>IF(OR(A46="",B46="",D46=""),"",SUM(B46:C46)-N(D46)+N(E46))</x:f>
      </x:c>
      <x:c r="G46" s="14" t="str">
        <x:f>IF(OR(A46="",'02 Balance Sheet'!$B$2&lt;&gt;$A46),"",SUMIF('02 Balance Sheet'!$D:$D,"CNY",'02 Balance Sheet'!$H:$H))</x:f>
      </x:c>
      <x:c r="H46" s="14" t="str">
        <x:f>IF(OR(A46="",'02 Balance Sheet'!$B$2&lt;&gt;$A46),"",SUMIF('02 Balance Sheet'!$D:$D,"USD",'02 Balance Sheet'!$H:$H))</x:f>
      </x:c>
      <x:c r="I46" s="14" t="str">
        <x:f>IF(OR(A46="",'02 Balance Sheet'!$B$2&lt;&gt;$A46),"",SUMIF('02 Balance Sheet'!$D:$D,"HKD",'02 Balance Sheet'!$H:$H))</x:f>
      </x:c>
      <x:c r="J46" s="12" t="str">
        <x:f>IF(A46="","",IF(COUNT(G46:I46)&lt;3,"Awaiting Month-End Snapshot",IF(OR(B46="",D46=""),"Awaiting Monthly Inputs","Ready to Close")))</x:f>
      </x:c>
      <x:c r="K46" s="22"/>
    </x:row>
    <x:row r="47" ht="19.5" customHeight="1">
      <x:c r="A47" s="25"/>
      <x:c r="B47" s="19"/>
      <x:c r="C47" s="19"/>
      <x:c r="D47" s="19"/>
      <x:c r="E47" s="19"/>
      <x:c r="F47" s="14" t="str">
        <x:f>IF(OR(A47="",B47="",D47=""),"",SUM(B47:C47)-N(D47)+N(E47))</x:f>
      </x:c>
      <x:c r="G47" s="14" t="str">
        <x:f>IF(OR(A47="",'02 Balance Sheet'!$B$2&lt;&gt;$A47),"",SUMIF('02 Balance Sheet'!$D:$D,"CNY",'02 Balance Sheet'!$H:$H))</x:f>
      </x:c>
      <x:c r="H47" s="14" t="str">
        <x:f>IF(OR(A47="",'02 Balance Sheet'!$B$2&lt;&gt;$A47),"",SUMIF('02 Balance Sheet'!$D:$D,"USD",'02 Balance Sheet'!$H:$H))</x:f>
      </x:c>
      <x:c r="I47" s="14" t="str">
        <x:f>IF(OR(A47="",'02 Balance Sheet'!$B$2&lt;&gt;$A47),"",SUMIF('02 Balance Sheet'!$D:$D,"HKD",'02 Balance Sheet'!$H:$H))</x:f>
      </x:c>
      <x:c r="J47" s="12" t="str">
        <x:f>IF(A47="","",IF(COUNT(G47:I47)&lt;3,"Awaiting Month-End Snapshot",IF(OR(B47="",D47=""),"Awaiting Monthly Inputs","Ready to Close")))</x:f>
      </x:c>
      <x:c r="K47" s="22"/>
    </x:row>
    <x:row r="48" ht="19.5" customHeight="1">
      <x:c r="A48" s="25"/>
      <x:c r="B48" s="19"/>
      <x:c r="C48" s="19"/>
      <x:c r="D48" s="19"/>
      <x:c r="E48" s="19"/>
      <x:c r="F48" s="14" t="str">
        <x:f>IF(OR(A48="",B48="",D48=""),"",SUM(B48:C48)-N(D48)+N(E48))</x:f>
      </x:c>
      <x:c r="G48" s="14" t="str">
        <x:f>IF(OR(A48="",'02 Balance Sheet'!$B$2&lt;&gt;$A48),"",SUMIF('02 Balance Sheet'!$D:$D,"CNY",'02 Balance Sheet'!$H:$H))</x:f>
      </x:c>
      <x:c r="H48" s="14" t="str">
        <x:f>IF(OR(A48="",'02 Balance Sheet'!$B$2&lt;&gt;$A48),"",SUMIF('02 Balance Sheet'!$D:$D,"USD",'02 Balance Sheet'!$H:$H))</x:f>
      </x:c>
      <x:c r="I48" s="14" t="str">
        <x:f>IF(OR(A48="",'02 Balance Sheet'!$B$2&lt;&gt;$A48),"",SUMIF('02 Balance Sheet'!$D:$D,"HKD",'02 Balance Sheet'!$H:$H))</x:f>
      </x:c>
      <x:c r="J48" s="12" t="str">
        <x:f>IF(A48="","",IF(COUNT(G48:I48)&lt;3,"Awaiting Month-End Snapshot",IF(OR(B48="",D48=""),"Awaiting Monthly Inputs","Ready to Close")))</x:f>
      </x:c>
      <x:c r="K48" s="22"/>
    </x:row>
    <x:row r="49" ht="19.5" customHeight="1">
      <x:c r="A49" s="25"/>
      <x:c r="B49" s="19"/>
      <x:c r="C49" s="19"/>
      <x:c r="D49" s="19"/>
      <x:c r="E49" s="19"/>
      <x:c r="F49" s="14" t="str">
        <x:f>IF(OR(A49="",B49="",D49=""),"",SUM(B49:C49)-N(D49)+N(E49))</x:f>
      </x:c>
      <x:c r="G49" s="14" t="str">
        <x:f>IF(OR(A49="",'02 Balance Sheet'!$B$2&lt;&gt;$A49),"",SUMIF('02 Balance Sheet'!$D:$D,"CNY",'02 Balance Sheet'!$H:$H))</x:f>
      </x:c>
      <x:c r="H49" s="14" t="str">
        <x:f>IF(OR(A49="",'02 Balance Sheet'!$B$2&lt;&gt;$A49),"",SUMIF('02 Balance Sheet'!$D:$D,"USD",'02 Balance Sheet'!$H:$H))</x:f>
      </x:c>
      <x:c r="I49" s="14" t="str">
        <x:f>IF(OR(A49="",'02 Balance Sheet'!$B$2&lt;&gt;$A49),"",SUMIF('02 Balance Sheet'!$D:$D,"HKD",'02 Balance Sheet'!$H:$H))</x:f>
      </x:c>
      <x:c r="J49" s="12" t="str">
        <x:f>IF(A49="","",IF(COUNT(G49:I49)&lt;3,"Awaiting Month-End Snapshot",IF(OR(B49="",D49=""),"Awaiting Monthly Inputs","Ready to Close")))</x:f>
      </x:c>
      <x:c r="K49" s="22"/>
    </x:row>
    <x:row r="50" ht="19.5" customHeight="1">
      <x:c r="A50" s="25"/>
      <x:c r="B50" s="19"/>
      <x:c r="C50" s="19"/>
      <x:c r="D50" s="19"/>
      <x:c r="E50" s="19"/>
      <x:c r="F50" s="14" t="str">
        <x:f>IF(OR(A50="",B50="",D50=""),"",SUM(B50:C50)-N(D50)+N(E50))</x:f>
      </x:c>
      <x:c r="G50" s="14" t="str">
        <x:f>IF(OR(A50="",'02 Balance Sheet'!$B$2&lt;&gt;$A50),"",SUMIF('02 Balance Sheet'!$D:$D,"CNY",'02 Balance Sheet'!$H:$H))</x:f>
      </x:c>
      <x:c r="H50" s="14" t="str">
        <x:f>IF(OR(A50="",'02 Balance Sheet'!$B$2&lt;&gt;$A50),"",SUMIF('02 Balance Sheet'!$D:$D,"USD",'02 Balance Sheet'!$H:$H))</x:f>
      </x:c>
      <x:c r="I50" s="14" t="str">
        <x:f>IF(OR(A50="",'02 Balance Sheet'!$B$2&lt;&gt;$A50),"",SUMIF('02 Balance Sheet'!$D:$D,"HKD",'02 Balance Sheet'!$H:$H))</x:f>
      </x:c>
      <x:c r="J50" s="12" t="str">
        <x:f>IF(A50="","",IF(COUNT(G50:I50)&lt;3,"Awaiting Month-End Snapshot",IF(OR(B50="",D50=""),"Awaiting Monthly Inputs","Ready to Close")))</x:f>
      </x:c>
      <x:c r="K50" s="22"/>
    </x:row>
    <x:row r="51" ht="19.5" customHeight="1">
      <x:c r="A51" s="25"/>
      <x:c r="B51" s="19"/>
      <x:c r="C51" s="19"/>
      <x:c r="D51" s="19"/>
      <x:c r="E51" s="19"/>
      <x:c r="F51" s="14" t="str">
        <x:f>IF(OR(A51="",B51="",D51=""),"",SUM(B51:C51)-N(D51)+N(E51))</x:f>
      </x:c>
      <x:c r="G51" s="14" t="str">
        <x:f>IF(OR(A51="",'02 Balance Sheet'!$B$2&lt;&gt;$A51),"",SUMIF('02 Balance Sheet'!$D:$D,"CNY",'02 Balance Sheet'!$H:$H))</x:f>
      </x:c>
      <x:c r="H51" s="14" t="str">
        <x:f>IF(OR(A51="",'02 Balance Sheet'!$B$2&lt;&gt;$A51),"",SUMIF('02 Balance Sheet'!$D:$D,"USD",'02 Balance Sheet'!$H:$H))</x:f>
      </x:c>
      <x:c r="I51" s="14" t="str">
        <x:f>IF(OR(A51="",'02 Balance Sheet'!$B$2&lt;&gt;$A51),"",SUMIF('02 Balance Sheet'!$D:$D,"HKD",'02 Balance Sheet'!$H:$H))</x:f>
      </x:c>
      <x:c r="J51" s="12" t="str">
        <x:f>IF(A51="","",IF(COUNT(G51:I51)&lt;3,"Awaiting Month-End Snapshot",IF(OR(B51="",D51=""),"Awaiting Monthly Inputs","Ready to Close")))</x:f>
      </x:c>
      <x:c r="K51" s="22"/>
    </x:row>
    <x:row r="52" ht="19.5" customHeight="1">
      <x:c r="A52" s="25"/>
      <x:c r="B52" s="19"/>
      <x:c r="C52" s="19"/>
      <x:c r="D52" s="19"/>
      <x:c r="E52" s="19"/>
      <x:c r="F52" s="14" t="str">
        <x:f>IF(OR(A52="",B52="",D52=""),"",SUM(B52:C52)-N(D52)+N(E52))</x:f>
      </x:c>
      <x:c r="G52" s="14" t="str">
        <x:f>IF(OR(A52="",'02 Balance Sheet'!$B$2&lt;&gt;$A52),"",SUMIF('02 Balance Sheet'!$D:$D,"CNY",'02 Balance Sheet'!$H:$H))</x:f>
      </x:c>
      <x:c r="H52" s="14" t="str">
        <x:f>IF(OR(A52="",'02 Balance Sheet'!$B$2&lt;&gt;$A52),"",SUMIF('02 Balance Sheet'!$D:$D,"USD",'02 Balance Sheet'!$H:$H))</x:f>
      </x:c>
      <x:c r="I52" s="14" t="str">
        <x:f>IF(OR(A52="",'02 Balance Sheet'!$B$2&lt;&gt;$A52),"",SUMIF('02 Balance Sheet'!$D:$D,"HKD",'02 Balance Sheet'!$H:$H))</x:f>
      </x:c>
      <x:c r="J52" s="12" t="str">
        <x:f>IF(A52="","",IF(COUNT(G52:I52)&lt;3,"Awaiting Month-End Snapshot",IF(OR(B52="",D52=""),"Awaiting Monthly Inputs","Ready to Close")))</x:f>
      </x:c>
      <x:c r="K52" s="22"/>
    </x:row>
    <x:row r="53" ht="19.5" customHeight="1">
      <x:c r="A53" s="25"/>
      <x:c r="B53" s="19"/>
      <x:c r="C53" s="19"/>
      <x:c r="D53" s="19"/>
      <x:c r="E53" s="19"/>
      <x:c r="F53" s="14" t="str">
        <x:f>IF(OR(A53="",B53="",D53=""),"",SUM(B53:C53)-N(D53)+N(E53))</x:f>
      </x:c>
      <x:c r="G53" s="14" t="str">
        <x:f>IF(OR(A53="",'02 Balance Sheet'!$B$2&lt;&gt;$A53),"",SUMIF('02 Balance Sheet'!$D:$D,"CNY",'02 Balance Sheet'!$H:$H))</x:f>
      </x:c>
      <x:c r="H53" s="14" t="str">
        <x:f>IF(OR(A53="",'02 Balance Sheet'!$B$2&lt;&gt;$A53),"",SUMIF('02 Balance Sheet'!$D:$D,"USD",'02 Balance Sheet'!$H:$H))</x:f>
      </x:c>
      <x:c r="I53" s="14" t="str">
        <x:f>IF(OR(A53="",'02 Balance Sheet'!$B$2&lt;&gt;$A53),"",SUMIF('02 Balance Sheet'!$D:$D,"HKD",'02 Balance Sheet'!$H:$H))</x:f>
      </x:c>
      <x:c r="J53" s="12" t="str">
        <x:f>IF(A53="","",IF(COUNT(G53:I53)&lt;3,"Awaiting Month-End Snapshot",IF(OR(B53="",D53=""),"Awaiting Monthly Inputs","Ready to Close")))</x:f>
      </x:c>
      <x:c r="K53" s="22"/>
    </x:row>
    <x:row r="54" ht="19.5" customHeight="1">
      <x:c r="A54" s="25"/>
      <x:c r="B54" s="19"/>
      <x:c r="C54" s="19"/>
      <x:c r="D54" s="19"/>
      <x:c r="E54" s="19"/>
      <x:c r="F54" s="14" t="str">
        <x:f>IF(OR(A54="",B54="",D54=""),"",SUM(B54:C54)-N(D54)+N(E54))</x:f>
      </x:c>
      <x:c r="G54" s="14" t="str">
        <x:f>IF(OR(A54="",'02 Balance Sheet'!$B$2&lt;&gt;$A54),"",SUMIF('02 Balance Sheet'!$D:$D,"CNY",'02 Balance Sheet'!$H:$H))</x:f>
      </x:c>
      <x:c r="H54" s="14" t="str">
        <x:f>IF(OR(A54="",'02 Balance Sheet'!$B$2&lt;&gt;$A54),"",SUMIF('02 Balance Sheet'!$D:$D,"USD",'02 Balance Sheet'!$H:$H))</x:f>
      </x:c>
      <x:c r="I54" s="14" t="str">
        <x:f>IF(OR(A54="",'02 Balance Sheet'!$B$2&lt;&gt;$A54),"",SUMIF('02 Balance Sheet'!$D:$D,"HKD",'02 Balance Sheet'!$H:$H))</x:f>
      </x:c>
      <x:c r="J54" s="12" t="str">
        <x:f>IF(A54="","",IF(COUNT(G54:I54)&lt;3,"Awaiting Month-End Snapshot",IF(OR(B54="",D54=""),"Awaiting Monthly Inputs","Ready to Close")))</x:f>
      </x:c>
      <x:c r="K54" s="22"/>
    </x:row>
    <x:row r="55" ht="19.5" customHeight="1">
      <x:c r="A55" s="25"/>
      <x:c r="B55" s="19"/>
      <x:c r="C55" s="19"/>
      <x:c r="D55" s="19"/>
      <x:c r="E55" s="19"/>
      <x:c r="F55" s="14" t="str">
        <x:f>IF(OR(A55="",B55="",D55=""),"",SUM(B55:C55)-N(D55)+N(E55))</x:f>
      </x:c>
      <x:c r="G55" s="14" t="str">
        <x:f>IF(OR(A55="",'02 Balance Sheet'!$B$2&lt;&gt;$A55),"",SUMIF('02 Balance Sheet'!$D:$D,"CNY",'02 Balance Sheet'!$H:$H))</x:f>
      </x:c>
      <x:c r="H55" s="14" t="str">
        <x:f>IF(OR(A55="",'02 Balance Sheet'!$B$2&lt;&gt;$A55),"",SUMIF('02 Balance Sheet'!$D:$D,"USD",'02 Balance Sheet'!$H:$H))</x:f>
      </x:c>
      <x:c r="I55" s="14" t="str">
        <x:f>IF(OR(A55="",'02 Balance Sheet'!$B$2&lt;&gt;$A55),"",SUMIF('02 Balance Sheet'!$D:$D,"HKD",'02 Balance Sheet'!$H:$H))</x:f>
      </x:c>
      <x:c r="J55" s="12" t="str">
        <x:f>IF(A55="","",IF(COUNT(G55:I55)&lt;3,"Awaiting Month-End Snapshot",IF(OR(B55="",D55=""),"Awaiting Monthly Inputs","Ready to Close")))</x:f>
      </x:c>
      <x:c r="K55" s="22"/>
    </x:row>
    <x:row r="56" ht="19.5" customHeight="1">
      <x:c r="A56" s="25"/>
      <x:c r="B56" s="19"/>
      <x:c r="C56" s="19"/>
      <x:c r="D56" s="19"/>
      <x:c r="E56" s="19"/>
      <x:c r="F56" s="14" t="str">
        <x:f>IF(OR(A56="",B56="",D56=""),"",SUM(B56:C56)-N(D56)+N(E56))</x:f>
      </x:c>
      <x:c r="G56" s="14" t="str">
        <x:f>IF(OR(A56="",'02 Balance Sheet'!$B$2&lt;&gt;$A56),"",SUMIF('02 Balance Sheet'!$D:$D,"CNY",'02 Balance Sheet'!$H:$H))</x:f>
      </x:c>
      <x:c r="H56" s="14" t="str">
        <x:f>IF(OR(A56="",'02 Balance Sheet'!$B$2&lt;&gt;$A56),"",SUMIF('02 Balance Sheet'!$D:$D,"USD",'02 Balance Sheet'!$H:$H))</x:f>
      </x:c>
      <x:c r="I56" s="14" t="str">
        <x:f>IF(OR(A56="",'02 Balance Sheet'!$B$2&lt;&gt;$A56),"",SUMIF('02 Balance Sheet'!$D:$D,"HKD",'02 Balance Sheet'!$H:$H))</x:f>
      </x:c>
      <x:c r="J56" s="12" t="str">
        <x:f>IF(A56="","",IF(COUNT(G56:I56)&lt;3,"Awaiting Month-End Snapshot",IF(OR(B56="",D56=""),"Awaiting Monthly Inputs","Ready to Close")))</x:f>
      </x:c>
      <x:c r="K56" s="22"/>
    </x:row>
    <x:row r="57" ht="19.5" customHeight="1">
      <x:c r="A57" s="25"/>
      <x:c r="B57" s="19"/>
      <x:c r="C57" s="19"/>
      <x:c r="D57" s="19"/>
      <x:c r="E57" s="19"/>
      <x:c r="F57" s="14" t="str">
        <x:f>IF(OR(A57="",B57="",D57=""),"",SUM(B57:C57)-N(D57)+N(E57))</x:f>
      </x:c>
      <x:c r="G57" s="14" t="str">
        <x:f>IF(OR(A57="",'02 Balance Sheet'!$B$2&lt;&gt;$A57),"",SUMIF('02 Balance Sheet'!$D:$D,"CNY",'02 Balance Sheet'!$H:$H))</x:f>
      </x:c>
      <x:c r="H57" s="14" t="str">
        <x:f>IF(OR(A57="",'02 Balance Sheet'!$B$2&lt;&gt;$A57),"",SUMIF('02 Balance Sheet'!$D:$D,"USD",'02 Balance Sheet'!$H:$H))</x:f>
      </x:c>
      <x:c r="I57" s="14" t="str">
        <x:f>IF(OR(A57="",'02 Balance Sheet'!$B$2&lt;&gt;$A57),"",SUMIF('02 Balance Sheet'!$D:$D,"HKD",'02 Balance Sheet'!$H:$H))</x:f>
      </x:c>
      <x:c r="J57" s="12" t="str">
        <x:f>IF(A57="","",IF(COUNT(G57:I57)&lt;3,"Awaiting Month-End Snapshot",IF(OR(B57="",D57=""),"Awaiting Monthly Inputs","Ready to Close")))</x:f>
      </x:c>
      <x:c r="K57" s="22"/>
    </x:row>
    <x:row r="58" ht="19.5" customHeight="1">
      <x:c r="A58" s="25"/>
      <x:c r="B58" s="19"/>
      <x:c r="C58" s="19"/>
      <x:c r="D58" s="19"/>
      <x:c r="E58" s="19"/>
      <x:c r="F58" s="14" t="str">
        <x:f>IF(OR(A58="",B58="",D58=""),"",SUM(B58:C58)-N(D58)+N(E58))</x:f>
      </x:c>
      <x:c r="G58" s="14" t="str">
        <x:f>IF(OR(A58="",'02 Balance Sheet'!$B$2&lt;&gt;$A58),"",SUMIF('02 Balance Sheet'!$D:$D,"CNY",'02 Balance Sheet'!$H:$H))</x:f>
      </x:c>
      <x:c r="H58" s="14" t="str">
        <x:f>IF(OR(A58="",'02 Balance Sheet'!$B$2&lt;&gt;$A58),"",SUMIF('02 Balance Sheet'!$D:$D,"USD",'02 Balance Sheet'!$H:$H))</x:f>
      </x:c>
      <x:c r="I58" s="14" t="str">
        <x:f>IF(OR(A58="",'02 Balance Sheet'!$B$2&lt;&gt;$A58),"",SUMIF('02 Balance Sheet'!$D:$D,"HKD",'02 Balance Sheet'!$H:$H))</x:f>
      </x:c>
      <x:c r="J58" s="12" t="str">
        <x:f>IF(A58="","",IF(COUNT(G58:I58)&lt;3,"Awaiting Month-End Snapshot",IF(OR(B58="",D58=""),"Awaiting Monthly Inputs","Ready to Close")))</x:f>
      </x:c>
      <x:c r="K58" s="22"/>
    </x:row>
    <x:row r="59" ht="19.5" customHeight="1">
      <x:c r="A59" s="25"/>
      <x:c r="B59" s="19"/>
      <x:c r="C59" s="19"/>
      <x:c r="D59" s="19"/>
      <x:c r="E59" s="19"/>
      <x:c r="F59" s="14" t="str">
        <x:f>IF(OR(A59="",B59="",D59=""),"",SUM(B59:C59)-N(D59)+N(E59))</x:f>
      </x:c>
      <x:c r="G59" s="14" t="str">
        <x:f>IF(OR(A59="",'02 Balance Sheet'!$B$2&lt;&gt;$A59),"",SUMIF('02 Balance Sheet'!$D:$D,"CNY",'02 Balance Sheet'!$H:$H))</x:f>
      </x:c>
      <x:c r="H59" s="14" t="str">
        <x:f>IF(OR(A59="",'02 Balance Sheet'!$B$2&lt;&gt;$A59),"",SUMIF('02 Balance Sheet'!$D:$D,"USD",'02 Balance Sheet'!$H:$H))</x:f>
      </x:c>
      <x:c r="I59" s="14" t="str">
        <x:f>IF(OR(A59="",'02 Balance Sheet'!$B$2&lt;&gt;$A59),"",SUMIF('02 Balance Sheet'!$D:$D,"HKD",'02 Balance Sheet'!$H:$H))</x:f>
      </x:c>
      <x:c r="J59" s="12" t="str">
        <x:f>IF(A59="","",IF(COUNT(G59:I59)&lt;3,"Awaiting Month-End Snapshot",IF(OR(B59="",D59=""),"Awaiting Monthly Inputs","Ready to Close")))</x:f>
      </x:c>
      <x:c r="K59" s="22"/>
    </x:row>
    <x:row r="60" ht="19.5" customHeight="1">
      <x:c r="A60" s="25"/>
      <x:c r="B60" s="19"/>
      <x:c r="C60" s="19"/>
      <x:c r="D60" s="19"/>
      <x:c r="E60" s="19"/>
      <x:c r="F60" s="14" t="str">
        <x:f>IF(OR(A60="",B60="",D60=""),"",SUM(B60:C60)-N(D60)+N(E60))</x:f>
      </x:c>
      <x:c r="G60" s="14" t="str">
        <x:f>IF(OR(A60="",'02 Balance Sheet'!$B$2&lt;&gt;$A60),"",SUMIF('02 Balance Sheet'!$D:$D,"CNY",'02 Balance Sheet'!$H:$H))</x:f>
      </x:c>
      <x:c r="H60" s="14" t="str">
        <x:f>IF(OR(A60="",'02 Balance Sheet'!$B$2&lt;&gt;$A60),"",SUMIF('02 Balance Sheet'!$D:$D,"USD",'02 Balance Sheet'!$H:$H))</x:f>
      </x:c>
      <x:c r="I60" s="14" t="str">
        <x:f>IF(OR(A60="",'02 Balance Sheet'!$B$2&lt;&gt;$A60),"",SUMIF('02 Balance Sheet'!$D:$D,"HKD",'02 Balance Sheet'!$H:$H))</x:f>
      </x:c>
      <x:c r="J60" s="12" t="str">
        <x:f>IF(A60="","",IF(COUNT(G60:I60)&lt;3,"Awaiting Month-End Snapshot",IF(OR(B60="",D60=""),"Awaiting Monthly Inputs","Ready to Close")))</x:f>
      </x:c>
      <x:c r="K60" s="22"/>
    </x:row>
    <x:row r="61" ht="19.5" customHeight="1">
      <x:c r="A61" s="25"/>
      <x:c r="B61" s="19"/>
      <x:c r="C61" s="19"/>
      <x:c r="D61" s="19"/>
      <x:c r="E61" s="19"/>
      <x:c r="F61" s="14" t="str">
        <x:f>IF(OR(A61="",B61="",D61=""),"",SUM(B61:C61)-N(D61)+N(E61))</x:f>
      </x:c>
      <x:c r="G61" s="14" t="str">
        <x:f>IF(OR(A61="",'02 Balance Sheet'!$B$2&lt;&gt;$A61),"",SUMIF('02 Balance Sheet'!$D:$D,"CNY",'02 Balance Sheet'!$H:$H))</x:f>
      </x:c>
      <x:c r="H61" s="14" t="str">
        <x:f>IF(OR(A61="",'02 Balance Sheet'!$B$2&lt;&gt;$A61),"",SUMIF('02 Balance Sheet'!$D:$D,"USD",'02 Balance Sheet'!$H:$H))</x:f>
      </x:c>
      <x:c r="I61" s="14" t="str">
        <x:f>IF(OR(A61="",'02 Balance Sheet'!$B$2&lt;&gt;$A61),"",SUMIF('02 Balance Sheet'!$D:$D,"HKD",'02 Balance Sheet'!$H:$H))</x:f>
      </x:c>
      <x:c r="J61" s="12" t="str">
        <x:f>IF(A61="","",IF(COUNT(G61:I61)&lt;3,"Awaiting Month-End Snapshot",IF(OR(B61="",D61=""),"Awaiting Monthly Inputs","Ready to Close")))</x:f>
      </x:c>
      <x:c r="K61" s="22"/>
    </x:row>
    <x:row r="62" ht="19.5" customHeight="1">
      <x:c r="A62" s="25"/>
      <x:c r="B62" s="19"/>
      <x:c r="C62" s="19"/>
      <x:c r="D62" s="19"/>
      <x:c r="E62" s="19"/>
      <x:c r="F62" s="14" t="str">
        <x:f>IF(OR(A62="",B62="",D62=""),"",SUM(B62:C62)-N(D62)+N(E62))</x:f>
      </x:c>
      <x:c r="G62" s="14" t="str">
        <x:f>IF(OR(A62="",'02 Balance Sheet'!$B$2&lt;&gt;$A62),"",SUMIF('02 Balance Sheet'!$D:$D,"CNY",'02 Balance Sheet'!$H:$H))</x:f>
      </x:c>
      <x:c r="H62" s="14" t="str">
        <x:f>IF(OR(A62="",'02 Balance Sheet'!$B$2&lt;&gt;$A62),"",SUMIF('02 Balance Sheet'!$D:$D,"USD",'02 Balance Sheet'!$H:$H))</x:f>
      </x:c>
      <x:c r="I62" s="14" t="str">
        <x:f>IF(OR(A62="",'02 Balance Sheet'!$B$2&lt;&gt;$A62),"",SUMIF('02 Balance Sheet'!$D:$D,"HKD",'02 Balance Sheet'!$H:$H))</x:f>
      </x:c>
      <x:c r="J62" s="12" t="str">
        <x:f>IF(A62="","",IF(COUNT(G62:I62)&lt;3,"Awaiting Month-End Snapshot",IF(OR(B62="",D62=""),"Awaiting Monthly Inputs","Ready to Close")))</x:f>
      </x:c>
      <x:c r="K62" s="22"/>
    </x:row>
    <x:row r="63" ht="19.5" customHeight="1">
      <x:c r="A63" s="25"/>
      <x:c r="B63" s="19"/>
      <x:c r="C63" s="19"/>
      <x:c r="D63" s="19"/>
      <x:c r="E63" s="19"/>
      <x:c r="F63" s="14" t="str">
        <x:f>IF(OR(A63="",B63="",D63=""),"",SUM(B63:C63)-N(D63)+N(E63))</x:f>
      </x:c>
      <x:c r="G63" s="14" t="str">
        <x:f>IF(OR(A63="",'02 Balance Sheet'!$B$2&lt;&gt;$A63),"",SUMIF('02 Balance Sheet'!$D:$D,"CNY",'02 Balance Sheet'!$H:$H))</x:f>
      </x:c>
      <x:c r="H63" s="14" t="str">
        <x:f>IF(OR(A63="",'02 Balance Sheet'!$B$2&lt;&gt;$A63),"",SUMIF('02 Balance Sheet'!$D:$D,"USD",'02 Balance Sheet'!$H:$H))</x:f>
      </x:c>
      <x:c r="I63" s="14" t="str">
        <x:f>IF(OR(A63="",'02 Balance Sheet'!$B$2&lt;&gt;$A63),"",SUMIF('02 Balance Sheet'!$D:$D,"HKD",'02 Balance Sheet'!$H:$H))</x:f>
      </x:c>
      <x:c r="J63" s="12" t="str">
        <x:f>IF(A63="","",IF(COUNT(G63:I63)&lt;3,"Awaiting Month-End Snapshot",IF(OR(B63="",D63=""),"Awaiting Monthly Inputs","Ready to Close")))</x:f>
      </x:c>
      <x:c r="K63" s="22"/>
    </x:row>
    <x:row r="64" ht="19.5" customHeight="1">
      <x:c r="A64" s="25"/>
      <x:c r="B64" s="19"/>
      <x:c r="C64" s="19"/>
      <x:c r="D64" s="19"/>
      <x:c r="E64" s="19"/>
      <x:c r="F64" s="14" t="str">
        <x:f>IF(OR(A64="",B64="",D64=""),"",SUM(B64:C64)-N(D64)+N(E64))</x:f>
      </x:c>
      <x:c r="G64" s="14" t="str">
        <x:f>IF(OR(A64="",'02 Balance Sheet'!$B$2&lt;&gt;$A64),"",SUMIF('02 Balance Sheet'!$D:$D,"CNY",'02 Balance Sheet'!$H:$H))</x:f>
      </x:c>
      <x:c r="H64" s="14" t="str">
        <x:f>IF(OR(A64="",'02 Balance Sheet'!$B$2&lt;&gt;$A64),"",SUMIF('02 Balance Sheet'!$D:$D,"USD",'02 Balance Sheet'!$H:$H))</x:f>
      </x:c>
      <x:c r="I64" s="14" t="str">
        <x:f>IF(OR(A64="",'02 Balance Sheet'!$B$2&lt;&gt;$A64),"",SUMIF('02 Balance Sheet'!$D:$D,"HKD",'02 Balance Sheet'!$H:$H))</x:f>
      </x:c>
      <x:c r="J64" s="12" t="str">
        <x:f>IF(A64="","",IF(COUNT(G64:I64)&lt;3,"Awaiting Month-End Snapshot",IF(OR(B64="",D64=""),"Awaiting Monthly Inputs","Ready to Close")))</x:f>
      </x:c>
      <x:c r="K64" s="22"/>
    </x:row>
    <x:row r="65" ht="19.5" customHeight="1">
      <x:c r="A65" s="25"/>
      <x:c r="B65" s="19"/>
      <x:c r="C65" s="19"/>
      <x:c r="D65" s="19"/>
      <x:c r="E65" s="19"/>
      <x:c r="F65" s="14" t="str">
        <x:f>IF(OR(A65="",B65="",D65=""),"",SUM(B65:C65)-N(D65)+N(E65))</x:f>
      </x:c>
      <x:c r="G65" s="14" t="str">
        <x:f>IF(OR(A65="",'02 Balance Sheet'!$B$2&lt;&gt;$A65),"",SUMIF('02 Balance Sheet'!$D:$D,"CNY",'02 Balance Sheet'!$H:$H))</x:f>
      </x:c>
      <x:c r="H65" s="14" t="str">
        <x:f>IF(OR(A65="",'02 Balance Sheet'!$B$2&lt;&gt;$A65),"",SUMIF('02 Balance Sheet'!$D:$D,"USD",'02 Balance Sheet'!$H:$H))</x:f>
      </x:c>
      <x:c r="I65" s="14" t="str">
        <x:f>IF(OR(A65="",'02 Balance Sheet'!$B$2&lt;&gt;$A65),"",SUMIF('02 Balance Sheet'!$D:$D,"HKD",'02 Balance Sheet'!$H:$H))</x:f>
      </x:c>
      <x:c r="J65" s="12" t="str">
        <x:f>IF(A65="","",IF(COUNT(G65:I65)&lt;3,"Awaiting Month-End Snapshot",IF(OR(B65="",D65=""),"Awaiting Monthly Inputs","Ready to Close")))</x:f>
      </x:c>
      <x:c r="K65" s="22"/>
    </x:row>
    <x:row r="66" ht="19.5" customHeight="1">
      <x:c r="A66" s="25"/>
      <x:c r="B66" s="19"/>
      <x:c r="C66" s="19"/>
      <x:c r="D66" s="19"/>
      <x:c r="E66" s="19"/>
      <x:c r="F66" s="14" t="str">
        <x:f>IF(OR(A66="",B66="",D66=""),"",SUM(B66:C66)-N(D66)+N(E66))</x:f>
      </x:c>
      <x:c r="G66" s="14" t="str">
        <x:f>IF(OR(A66="",'02 Balance Sheet'!$B$2&lt;&gt;$A66),"",SUMIF('02 Balance Sheet'!$D:$D,"CNY",'02 Balance Sheet'!$H:$H))</x:f>
      </x:c>
      <x:c r="H66" s="14" t="str">
        <x:f>IF(OR(A66="",'02 Balance Sheet'!$B$2&lt;&gt;$A66),"",SUMIF('02 Balance Sheet'!$D:$D,"USD",'02 Balance Sheet'!$H:$H))</x:f>
      </x:c>
      <x:c r="I66" s="14" t="str">
        <x:f>IF(OR(A66="",'02 Balance Sheet'!$B$2&lt;&gt;$A66),"",SUMIF('02 Balance Sheet'!$D:$D,"HKD",'02 Balance Sheet'!$H:$H))</x:f>
      </x:c>
      <x:c r="J66" s="12" t="str">
        <x:f>IF(A66="","",IF(COUNT(G66:I66)&lt;3,"Awaiting Month-End Snapshot",IF(OR(B66="",D66=""),"Awaiting Monthly Inputs","Ready to Close")))</x:f>
      </x:c>
      <x:c r="K66" s="22"/>
    </x:row>
    <x:row r="67" ht="19.5" customHeight="1">
      <x:c r="A67" s="25"/>
      <x:c r="B67" s="19"/>
      <x:c r="C67" s="19"/>
      <x:c r="D67" s="19"/>
      <x:c r="E67" s="19"/>
      <x:c r="F67" s="14" t="str">
        <x:f>IF(OR(A67="",B67="",D67=""),"",SUM(B67:C67)-N(D67)+N(E67))</x:f>
      </x:c>
      <x:c r="G67" s="14" t="str">
        <x:f>IF(OR(A67="",'02 Balance Sheet'!$B$2&lt;&gt;$A67),"",SUMIF('02 Balance Sheet'!$D:$D,"CNY",'02 Balance Sheet'!$H:$H))</x:f>
      </x:c>
      <x:c r="H67" s="14" t="str">
        <x:f>IF(OR(A67="",'02 Balance Sheet'!$B$2&lt;&gt;$A67),"",SUMIF('02 Balance Sheet'!$D:$D,"USD",'02 Balance Sheet'!$H:$H))</x:f>
      </x:c>
      <x:c r="I67" s="14" t="str">
        <x:f>IF(OR(A67="",'02 Balance Sheet'!$B$2&lt;&gt;$A67),"",SUMIF('02 Balance Sheet'!$D:$D,"HKD",'02 Balance Sheet'!$H:$H))</x:f>
      </x:c>
      <x:c r="J67" s="12" t="str">
        <x:f>IF(A67="","",IF(COUNT(G67:I67)&lt;3,"Awaiting Month-End Snapshot",IF(OR(B67="",D67=""),"Awaiting Monthly Inputs","Ready to Close")))</x:f>
      </x:c>
      <x:c r="K67" s="22"/>
    </x:row>
    <x:row r="68" ht="19.5" customHeight="1">
      <x:c r="A68" s="25"/>
      <x:c r="B68" s="19"/>
      <x:c r="C68" s="19"/>
      <x:c r="D68" s="19"/>
      <x:c r="E68" s="19"/>
      <x:c r="F68" s="14" t="str">
        <x:f>IF(OR(A68="",B68="",D68=""),"",SUM(B68:C68)-N(D68)+N(E68))</x:f>
      </x:c>
      <x:c r="G68" s="14" t="str">
        <x:f>IF(OR(A68="",'02 Balance Sheet'!$B$2&lt;&gt;$A68),"",SUMIF('02 Balance Sheet'!$D:$D,"CNY",'02 Balance Sheet'!$H:$H))</x:f>
      </x:c>
      <x:c r="H68" s="14" t="str">
        <x:f>IF(OR(A68="",'02 Balance Sheet'!$B$2&lt;&gt;$A68),"",SUMIF('02 Balance Sheet'!$D:$D,"USD",'02 Balance Sheet'!$H:$H))</x:f>
      </x:c>
      <x:c r="I68" s="14" t="str">
        <x:f>IF(OR(A68="",'02 Balance Sheet'!$B$2&lt;&gt;$A68),"",SUMIF('02 Balance Sheet'!$D:$D,"HKD",'02 Balance Sheet'!$H:$H))</x:f>
      </x:c>
      <x:c r="J68" s="12" t="str">
        <x:f>IF(A68="","",IF(COUNT(G68:I68)&lt;3,"Awaiting Month-End Snapshot",IF(OR(B68="",D68=""),"Awaiting Monthly Inputs","Ready to Close")))</x:f>
      </x:c>
      <x:c r="K68" s="22"/>
    </x:row>
    <x:row r="69" ht="19.5" customHeight="1">
      <x:c r="A69" s="25"/>
      <x:c r="B69" s="19"/>
      <x:c r="C69" s="19"/>
      <x:c r="D69" s="19"/>
      <x:c r="E69" s="19"/>
      <x:c r="F69" s="14" t="str">
        <x:f>IF(OR(A69="",B69="",D69=""),"",SUM(B69:C69)-N(D69)+N(E69))</x:f>
      </x:c>
      <x:c r="G69" s="14" t="str">
        <x:f>IF(OR(A69="",'02 Balance Sheet'!$B$2&lt;&gt;$A69),"",SUMIF('02 Balance Sheet'!$D:$D,"CNY",'02 Balance Sheet'!$H:$H))</x:f>
      </x:c>
      <x:c r="H69" s="14" t="str">
        <x:f>IF(OR(A69="",'02 Balance Sheet'!$B$2&lt;&gt;$A69),"",SUMIF('02 Balance Sheet'!$D:$D,"USD",'02 Balance Sheet'!$H:$H))</x:f>
      </x:c>
      <x:c r="I69" s="14" t="str">
        <x:f>IF(OR(A69="",'02 Balance Sheet'!$B$2&lt;&gt;$A69),"",SUMIF('02 Balance Sheet'!$D:$D,"HKD",'02 Balance Sheet'!$H:$H))</x:f>
      </x:c>
      <x:c r="J69" s="12" t="str">
        <x:f>IF(A69="","",IF(COUNT(G69:I69)&lt;3,"Awaiting Month-End Snapshot",IF(OR(B69="",D69=""),"Awaiting Monthly Inputs","Ready to Close")))</x:f>
      </x:c>
      <x:c r="K69" s="22"/>
    </x:row>
    <x:row r="70" ht="19.5" customHeight="1">
      <x:c r="A70" s="25"/>
      <x:c r="B70" s="19"/>
      <x:c r="C70" s="19"/>
      <x:c r="D70" s="19"/>
      <x:c r="E70" s="19"/>
      <x:c r="F70" s="14" t="str">
        <x:f>IF(OR(A70="",B70="",D70=""),"",SUM(B70:C70)-N(D70)+N(E70))</x:f>
      </x:c>
      <x:c r="G70" s="14" t="str">
        <x:f>IF(OR(A70="",'02 Balance Sheet'!$B$2&lt;&gt;$A70),"",SUMIF('02 Balance Sheet'!$D:$D,"CNY",'02 Balance Sheet'!$H:$H))</x:f>
      </x:c>
      <x:c r="H70" s="14" t="str">
        <x:f>IF(OR(A70="",'02 Balance Sheet'!$B$2&lt;&gt;$A70),"",SUMIF('02 Balance Sheet'!$D:$D,"USD",'02 Balance Sheet'!$H:$H))</x:f>
      </x:c>
      <x:c r="I70" s="14" t="str">
        <x:f>IF(OR(A70="",'02 Balance Sheet'!$B$2&lt;&gt;$A70),"",SUMIF('02 Balance Sheet'!$D:$D,"HKD",'02 Balance Sheet'!$H:$H))</x:f>
      </x:c>
      <x:c r="J70" s="12" t="str">
        <x:f>IF(A70="","",IF(COUNT(G70:I70)&lt;3,"Awaiting Month-End Snapshot",IF(OR(B70="",D70=""),"Awaiting Monthly Inputs","Ready to Close")))</x:f>
      </x:c>
      <x:c r="K70" s="22"/>
    </x:row>
    <x:row r="71" ht="19.5" customHeight="1">
      <x:c r="A71" s="25"/>
      <x:c r="B71" s="19"/>
      <x:c r="C71" s="19"/>
      <x:c r="D71" s="19"/>
      <x:c r="E71" s="19"/>
      <x:c r="F71" s="14" t="str">
        <x:f>IF(OR(A71="",B71="",D71=""),"",SUM(B71:C71)-N(D71)+N(E71))</x:f>
      </x:c>
      <x:c r="G71" s="14" t="str">
        <x:f>IF(OR(A71="",'02 Balance Sheet'!$B$2&lt;&gt;$A71),"",SUMIF('02 Balance Sheet'!$D:$D,"CNY",'02 Balance Sheet'!$H:$H))</x:f>
      </x:c>
      <x:c r="H71" s="14" t="str">
        <x:f>IF(OR(A71="",'02 Balance Sheet'!$B$2&lt;&gt;$A71),"",SUMIF('02 Balance Sheet'!$D:$D,"USD",'02 Balance Sheet'!$H:$H))</x:f>
      </x:c>
      <x:c r="I71" s="14" t="str">
        <x:f>IF(OR(A71="",'02 Balance Sheet'!$B$2&lt;&gt;$A71),"",SUMIF('02 Balance Sheet'!$D:$D,"HKD",'02 Balance Sheet'!$H:$H))</x:f>
      </x:c>
      <x:c r="J71" s="12" t="str">
        <x:f>IF(A71="","",IF(COUNT(G71:I71)&lt;3,"Awaiting Month-End Snapshot",IF(OR(B71="",D71=""),"Awaiting Monthly Inputs","Ready to Close")))</x:f>
      </x:c>
      <x:c r="K71" s="22"/>
    </x:row>
    <x:row r="72" ht="19.5" customHeight="1">
      <x:c r="A72" s="25"/>
      <x:c r="B72" s="19"/>
      <x:c r="C72" s="19"/>
      <x:c r="D72" s="19"/>
      <x:c r="E72" s="19"/>
      <x:c r="F72" s="14" t="str">
        <x:f>IF(OR(A72="",B72="",D72=""),"",SUM(B72:C72)-N(D72)+N(E72))</x:f>
      </x:c>
      <x:c r="G72" s="14" t="str">
        <x:f>IF(OR(A72="",'02 Balance Sheet'!$B$2&lt;&gt;$A72),"",SUMIF('02 Balance Sheet'!$D:$D,"CNY",'02 Balance Sheet'!$H:$H))</x:f>
      </x:c>
      <x:c r="H72" s="14" t="str">
        <x:f>IF(OR(A72="",'02 Balance Sheet'!$B$2&lt;&gt;$A72),"",SUMIF('02 Balance Sheet'!$D:$D,"USD",'02 Balance Sheet'!$H:$H))</x:f>
      </x:c>
      <x:c r="I72" s="14" t="str">
        <x:f>IF(OR(A72="",'02 Balance Sheet'!$B$2&lt;&gt;$A72),"",SUMIF('02 Balance Sheet'!$D:$D,"HKD",'02 Balance Sheet'!$H:$H))</x:f>
      </x:c>
      <x:c r="J72" s="12" t="str">
        <x:f>IF(A72="","",IF(COUNT(G72:I72)&lt;3,"Awaiting Month-End Snapshot",IF(OR(B72="",D72=""),"Awaiting Monthly Inputs","Ready to Close")))</x:f>
      </x:c>
      <x:c r="K72" s="22"/>
    </x:row>
    <x:row r="73" ht="19.5" customHeight="1">
      <x:c r="A73" s="25"/>
      <x:c r="B73" s="19"/>
      <x:c r="C73" s="19"/>
      <x:c r="D73" s="19"/>
      <x:c r="E73" s="19"/>
      <x:c r="F73" s="14" t="str">
        <x:f>IF(OR(A73="",B73="",D73=""),"",SUM(B73:C73)-N(D73)+N(E73))</x:f>
      </x:c>
      <x:c r="G73" s="14" t="str">
        <x:f>IF(OR(A73="",'02 Balance Sheet'!$B$2&lt;&gt;$A73),"",SUMIF('02 Balance Sheet'!$D:$D,"CNY",'02 Balance Sheet'!$H:$H))</x:f>
      </x:c>
      <x:c r="H73" s="14" t="str">
        <x:f>IF(OR(A73="",'02 Balance Sheet'!$B$2&lt;&gt;$A73),"",SUMIF('02 Balance Sheet'!$D:$D,"USD",'02 Balance Sheet'!$H:$H))</x:f>
      </x:c>
      <x:c r="I73" s="14" t="str">
        <x:f>IF(OR(A73="",'02 Balance Sheet'!$B$2&lt;&gt;$A73),"",SUMIF('02 Balance Sheet'!$D:$D,"HKD",'02 Balance Sheet'!$H:$H))</x:f>
      </x:c>
      <x:c r="J73" s="12" t="str">
        <x:f>IF(A73="","",IF(COUNT(G73:I73)&lt;3,"Awaiting Month-End Snapshot",IF(OR(B73="",D73=""),"Awaiting Monthly Inputs","Ready to Close")))</x:f>
      </x:c>
      <x:c r="K73" s="22"/>
    </x:row>
    <x:row r="74" ht="19.5" customHeight="1">
      <x:c r="A74" s="25"/>
      <x:c r="B74" s="19"/>
      <x:c r="C74" s="19"/>
      <x:c r="D74" s="19"/>
      <x:c r="E74" s="19"/>
      <x:c r="F74" s="14" t="str">
        <x:f>IF(OR(A74="",B74="",D74=""),"",SUM(B74:C74)-N(D74)+N(E74))</x:f>
      </x:c>
      <x:c r="G74" s="14" t="str">
        <x:f>IF(OR(A74="",'02 Balance Sheet'!$B$2&lt;&gt;$A74),"",SUMIF('02 Balance Sheet'!$D:$D,"CNY",'02 Balance Sheet'!$H:$H))</x:f>
      </x:c>
      <x:c r="H74" s="14" t="str">
        <x:f>IF(OR(A74="",'02 Balance Sheet'!$B$2&lt;&gt;$A74),"",SUMIF('02 Balance Sheet'!$D:$D,"USD",'02 Balance Sheet'!$H:$H))</x:f>
      </x:c>
      <x:c r="I74" s="14" t="str">
        <x:f>IF(OR(A74="",'02 Balance Sheet'!$B$2&lt;&gt;$A74),"",SUMIF('02 Balance Sheet'!$D:$D,"HKD",'02 Balance Sheet'!$H:$H))</x:f>
      </x:c>
      <x:c r="J74" s="12" t="str">
        <x:f>IF(A74="","",IF(COUNT(G74:I74)&lt;3,"Awaiting Month-End Snapshot",IF(OR(B74="",D74=""),"Awaiting Monthly Inputs","Ready to Close")))</x:f>
      </x:c>
      <x:c r="K74" s="22"/>
    </x:row>
    <x:row r="75" ht="19.5" customHeight="1">
      <x:c r="A75" s="25"/>
      <x:c r="B75" s="19"/>
      <x:c r="C75" s="19"/>
      <x:c r="D75" s="19"/>
      <x:c r="E75" s="19"/>
      <x:c r="F75" s="14" t="str">
        <x:f>IF(OR(A75="",B75="",D75=""),"",SUM(B75:C75)-N(D75)+N(E75))</x:f>
      </x:c>
      <x:c r="G75" s="14" t="str">
        <x:f>IF(OR(A75="",'02 Balance Sheet'!$B$2&lt;&gt;$A75),"",SUMIF('02 Balance Sheet'!$D:$D,"CNY",'02 Balance Sheet'!$H:$H))</x:f>
      </x:c>
      <x:c r="H75" s="14" t="str">
        <x:f>IF(OR(A75="",'02 Balance Sheet'!$B$2&lt;&gt;$A75),"",SUMIF('02 Balance Sheet'!$D:$D,"USD",'02 Balance Sheet'!$H:$H))</x:f>
      </x:c>
      <x:c r="I75" s="14" t="str">
        <x:f>IF(OR(A75="",'02 Balance Sheet'!$B$2&lt;&gt;$A75),"",SUMIF('02 Balance Sheet'!$D:$D,"HKD",'02 Balance Sheet'!$H:$H))</x:f>
      </x:c>
      <x:c r="J75" s="12" t="str">
        <x:f>IF(A75="","",IF(COUNT(G75:I75)&lt;3,"Awaiting Month-End Snapshot",IF(OR(B75="",D75=""),"Awaiting Monthly Inputs","Ready to Close")))</x:f>
      </x:c>
      <x:c r="K75" s="22"/>
    </x:row>
    <x:row r="76" ht="19.5" customHeight="1">
      <x:c r="A76" s="25"/>
      <x:c r="B76" s="19"/>
      <x:c r="C76" s="19"/>
      <x:c r="D76" s="19"/>
      <x:c r="E76" s="19"/>
      <x:c r="F76" s="14" t="str">
        <x:f>IF(OR(A76="",B76="",D76=""),"",SUM(B76:C76)-N(D76)+N(E76))</x:f>
      </x:c>
      <x:c r="G76" s="14" t="str">
        <x:f>IF(OR(A76="",'02 Balance Sheet'!$B$2&lt;&gt;$A76),"",SUMIF('02 Balance Sheet'!$D:$D,"CNY",'02 Balance Sheet'!$H:$H))</x:f>
      </x:c>
      <x:c r="H76" s="14" t="str">
        <x:f>IF(OR(A76="",'02 Balance Sheet'!$B$2&lt;&gt;$A76),"",SUMIF('02 Balance Sheet'!$D:$D,"USD",'02 Balance Sheet'!$H:$H))</x:f>
      </x:c>
      <x:c r="I76" s="14" t="str">
        <x:f>IF(OR(A76="",'02 Balance Sheet'!$B$2&lt;&gt;$A76),"",SUMIF('02 Balance Sheet'!$D:$D,"HKD",'02 Balance Sheet'!$H:$H))</x:f>
      </x:c>
      <x:c r="J76" s="12" t="str">
        <x:f>IF(A76="","",IF(COUNT(G76:I76)&lt;3,"Awaiting Month-End Snapshot",IF(OR(B76="",D76=""),"Awaiting Monthly Inputs","Ready to Close")))</x:f>
      </x:c>
      <x:c r="K76" s="22"/>
    </x:row>
    <x:row r="77" ht="19.5" customHeight="1">
      <x:c r="A77" s="25"/>
      <x:c r="B77" s="19"/>
      <x:c r="C77" s="19"/>
      <x:c r="D77" s="19"/>
      <x:c r="E77" s="19"/>
      <x:c r="F77" s="14" t="str">
        <x:f>IF(OR(A77="",B77="",D77=""),"",SUM(B77:C77)-N(D77)+N(E77))</x:f>
      </x:c>
      <x:c r="G77" s="14" t="str">
        <x:f>IF(OR(A77="",'02 Balance Sheet'!$B$2&lt;&gt;$A77),"",SUMIF('02 Balance Sheet'!$D:$D,"CNY",'02 Balance Sheet'!$H:$H))</x:f>
      </x:c>
      <x:c r="H77" s="14" t="str">
        <x:f>IF(OR(A77="",'02 Balance Sheet'!$B$2&lt;&gt;$A77),"",SUMIF('02 Balance Sheet'!$D:$D,"USD",'02 Balance Sheet'!$H:$H))</x:f>
      </x:c>
      <x:c r="I77" s="14" t="str">
        <x:f>IF(OR(A77="",'02 Balance Sheet'!$B$2&lt;&gt;$A77),"",SUMIF('02 Balance Sheet'!$D:$D,"HKD",'02 Balance Sheet'!$H:$H))</x:f>
      </x:c>
      <x:c r="J77" s="12" t="str">
        <x:f>IF(A77="","",IF(COUNT(G77:I77)&lt;3,"Awaiting Month-End Snapshot",IF(OR(B77="",D77=""),"Awaiting Monthly Inputs","Ready to Close")))</x:f>
      </x:c>
      <x:c r="K77" s="22"/>
    </x:row>
    <x:row r="78" ht="19.5" customHeight="1">
      <x:c r="A78" s="25"/>
      <x:c r="B78" s="19"/>
      <x:c r="C78" s="19"/>
      <x:c r="D78" s="19"/>
      <x:c r="E78" s="19"/>
      <x:c r="F78" s="14" t="str">
        <x:f>IF(OR(A78="",B78="",D78=""),"",SUM(B78:C78)-N(D78)+N(E78))</x:f>
      </x:c>
      <x:c r="G78" s="14" t="str">
        <x:f>IF(OR(A78="",'02 Balance Sheet'!$B$2&lt;&gt;$A78),"",SUMIF('02 Balance Sheet'!$D:$D,"CNY",'02 Balance Sheet'!$H:$H))</x:f>
      </x:c>
      <x:c r="H78" s="14" t="str">
        <x:f>IF(OR(A78="",'02 Balance Sheet'!$B$2&lt;&gt;$A78),"",SUMIF('02 Balance Sheet'!$D:$D,"USD",'02 Balance Sheet'!$H:$H))</x:f>
      </x:c>
      <x:c r="I78" s="14" t="str">
        <x:f>IF(OR(A78="",'02 Balance Sheet'!$B$2&lt;&gt;$A78),"",SUMIF('02 Balance Sheet'!$D:$D,"HKD",'02 Balance Sheet'!$H:$H))</x:f>
      </x:c>
      <x:c r="J78" s="12" t="str">
        <x:f>IF(A78="","",IF(COUNT(G78:I78)&lt;3,"Awaiting Month-End Snapshot",IF(OR(B78="",D78=""),"Awaiting Monthly Inputs","Ready to Close")))</x:f>
      </x:c>
      <x:c r="K78" s="22"/>
    </x:row>
    <x:row r="79" ht="19.5" customHeight="1">
      <x:c r="A79" s="25"/>
      <x:c r="B79" s="19"/>
      <x:c r="C79" s="19"/>
      <x:c r="D79" s="19"/>
      <x:c r="E79" s="19"/>
      <x:c r="F79" s="14" t="str">
        <x:f>IF(OR(A79="",B79="",D79=""),"",SUM(B79:C79)-N(D79)+N(E79))</x:f>
      </x:c>
      <x:c r="G79" s="14" t="str">
        <x:f>IF(OR(A79="",'02 Balance Sheet'!$B$2&lt;&gt;$A79),"",SUMIF('02 Balance Sheet'!$D:$D,"CNY",'02 Balance Sheet'!$H:$H))</x:f>
      </x:c>
      <x:c r="H79" s="14" t="str">
        <x:f>IF(OR(A79="",'02 Balance Sheet'!$B$2&lt;&gt;$A79),"",SUMIF('02 Balance Sheet'!$D:$D,"USD",'02 Balance Sheet'!$H:$H))</x:f>
      </x:c>
      <x:c r="I79" s="14" t="str">
        <x:f>IF(OR(A79="",'02 Balance Sheet'!$B$2&lt;&gt;$A79),"",SUMIF('02 Balance Sheet'!$D:$D,"HKD",'02 Balance Sheet'!$H:$H))</x:f>
      </x:c>
      <x:c r="J79" s="12" t="str">
        <x:f>IF(A79="","",IF(COUNT(G79:I79)&lt;3,"Awaiting Month-End Snapshot",IF(OR(B79="",D79=""),"Awaiting Monthly Inputs","Ready to Close")))</x:f>
      </x:c>
      <x:c r="K79" s="22"/>
    </x:row>
    <x:row r="80" ht="19.5" customHeight="1">
      <x:c r="A80" s="25"/>
      <x:c r="B80" s="19"/>
      <x:c r="C80" s="19"/>
      <x:c r="D80" s="19"/>
      <x:c r="E80" s="19"/>
      <x:c r="F80" s="14" t="str">
        <x:f>IF(OR(A80="",B80="",D80=""),"",SUM(B80:C80)-N(D80)+N(E80))</x:f>
      </x:c>
      <x:c r="G80" s="14" t="str">
        <x:f>IF(OR(A80="",'02 Balance Sheet'!$B$2&lt;&gt;$A80),"",SUMIF('02 Balance Sheet'!$D:$D,"CNY",'02 Balance Sheet'!$H:$H))</x:f>
      </x:c>
      <x:c r="H80" s="14" t="str">
        <x:f>IF(OR(A80="",'02 Balance Sheet'!$B$2&lt;&gt;$A80),"",SUMIF('02 Balance Sheet'!$D:$D,"USD",'02 Balance Sheet'!$H:$H))</x:f>
      </x:c>
      <x:c r="I80" s="14" t="str">
        <x:f>IF(OR(A80="",'02 Balance Sheet'!$B$2&lt;&gt;$A80),"",SUMIF('02 Balance Sheet'!$D:$D,"HKD",'02 Balance Sheet'!$H:$H))</x:f>
      </x:c>
      <x:c r="J80" s="12" t="str">
        <x:f>IF(A80="","",IF(COUNT(G80:I80)&lt;3,"Awaiting Month-End Snapshot",IF(OR(B80="",D80=""),"Awaiting Monthly Inputs","Ready to Close")))</x:f>
      </x:c>
      <x:c r="K80" s="22"/>
    </x:row>
    <x:row r="81" ht="19.5" customHeight="1">
      <x:c r="A81" s="25"/>
      <x:c r="B81" s="19"/>
      <x:c r="C81" s="19"/>
      <x:c r="D81" s="19"/>
      <x:c r="E81" s="19"/>
      <x:c r="F81" s="14" t="str">
        <x:f>IF(OR(A81="",B81="",D81=""),"",SUM(B81:C81)-N(D81)+N(E81))</x:f>
      </x:c>
      <x:c r="G81" s="14" t="str">
        <x:f>IF(OR(A81="",'02 Balance Sheet'!$B$2&lt;&gt;$A81),"",SUMIF('02 Balance Sheet'!$D:$D,"CNY",'02 Balance Sheet'!$H:$H))</x:f>
      </x:c>
      <x:c r="H81" s="14" t="str">
        <x:f>IF(OR(A81="",'02 Balance Sheet'!$B$2&lt;&gt;$A81),"",SUMIF('02 Balance Sheet'!$D:$D,"USD",'02 Balance Sheet'!$H:$H))</x:f>
      </x:c>
      <x:c r="I81" s="14" t="str">
        <x:f>IF(OR(A81="",'02 Balance Sheet'!$B$2&lt;&gt;$A81),"",SUMIF('02 Balance Sheet'!$D:$D,"HKD",'02 Balance Sheet'!$H:$H))</x:f>
      </x:c>
      <x:c r="J81" s="12" t="str">
        <x:f>IF(A81="","",IF(COUNT(G81:I81)&lt;3,"Awaiting Month-End Snapshot",IF(OR(B81="",D81=""),"Awaiting Monthly Inputs","Ready to Close")))</x:f>
      </x:c>
      <x:c r="K81" s="22"/>
    </x:row>
    <x:row r="82" ht="19.5" customHeight="1">
      <x:c r="A82" s="25"/>
      <x:c r="B82" s="19"/>
      <x:c r="C82" s="19"/>
      <x:c r="D82" s="19"/>
      <x:c r="E82" s="19"/>
      <x:c r="F82" s="14" t="str">
        <x:f>IF(OR(A82="",B82="",D82=""),"",SUM(B82:C82)-N(D82)+N(E82))</x:f>
      </x:c>
      <x:c r="G82" s="14" t="str">
        <x:f>IF(OR(A82="",'02 Balance Sheet'!$B$2&lt;&gt;$A82),"",SUMIF('02 Balance Sheet'!$D:$D,"CNY",'02 Balance Sheet'!$H:$H))</x:f>
      </x:c>
      <x:c r="H82" s="14" t="str">
        <x:f>IF(OR(A82="",'02 Balance Sheet'!$B$2&lt;&gt;$A82),"",SUMIF('02 Balance Sheet'!$D:$D,"USD",'02 Balance Sheet'!$H:$H))</x:f>
      </x:c>
      <x:c r="I82" s="14" t="str">
        <x:f>IF(OR(A82="",'02 Balance Sheet'!$B$2&lt;&gt;$A82),"",SUMIF('02 Balance Sheet'!$D:$D,"HKD",'02 Balance Sheet'!$H:$H))</x:f>
      </x:c>
      <x:c r="J82" s="12" t="str">
        <x:f>IF(A82="","",IF(COUNT(G82:I82)&lt;3,"Awaiting Month-End Snapshot",IF(OR(B82="",D82=""),"Awaiting Monthly Inputs","Ready to Close")))</x:f>
      </x:c>
      <x:c r="K82" s="22"/>
    </x:row>
    <x:row r="83" ht="19.5" customHeight="1">
      <x:c r="A83" s="25"/>
      <x:c r="B83" s="19"/>
      <x:c r="C83" s="19"/>
      <x:c r="D83" s="19"/>
      <x:c r="E83" s="19"/>
      <x:c r="F83" s="14" t="str">
        <x:f>IF(OR(A83="",B83="",D83=""),"",SUM(B83:C83)-N(D83)+N(E83))</x:f>
      </x:c>
      <x:c r="G83" s="14" t="str">
        <x:f>IF(OR(A83="",'02 Balance Sheet'!$B$2&lt;&gt;$A83),"",SUMIF('02 Balance Sheet'!$D:$D,"CNY",'02 Balance Sheet'!$H:$H))</x:f>
      </x:c>
      <x:c r="H83" s="14" t="str">
        <x:f>IF(OR(A83="",'02 Balance Sheet'!$B$2&lt;&gt;$A83),"",SUMIF('02 Balance Sheet'!$D:$D,"USD",'02 Balance Sheet'!$H:$H))</x:f>
      </x:c>
      <x:c r="I83" s="14" t="str">
        <x:f>IF(OR(A83="",'02 Balance Sheet'!$B$2&lt;&gt;$A83),"",SUMIF('02 Balance Sheet'!$D:$D,"HKD",'02 Balance Sheet'!$H:$H))</x:f>
      </x:c>
      <x:c r="J83" s="12" t="str">
        <x:f>IF(A83="","",IF(COUNT(G83:I83)&lt;3,"Awaiting Month-End Snapshot",IF(OR(B83="",D83=""),"Awaiting Monthly Inputs","Ready to Close")))</x:f>
      </x:c>
      <x:c r="K83" s="22"/>
    </x:row>
    <x:row r="84" ht="19.5" customHeight="1">
      <x:c r="A84" s="25"/>
      <x:c r="B84" s="19"/>
      <x:c r="C84" s="19"/>
      <x:c r="D84" s="19"/>
      <x:c r="E84" s="19"/>
      <x:c r="F84" s="14" t="str">
        <x:f>IF(OR(A84="",B84="",D84=""),"",SUM(B84:C84)-N(D84)+N(E84))</x:f>
      </x:c>
      <x:c r="G84" s="14" t="str">
        <x:f>IF(OR(A84="",'02 Balance Sheet'!$B$2&lt;&gt;$A84),"",SUMIF('02 Balance Sheet'!$D:$D,"CNY",'02 Balance Sheet'!$H:$H))</x:f>
      </x:c>
      <x:c r="H84" s="14" t="str">
        <x:f>IF(OR(A84="",'02 Balance Sheet'!$B$2&lt;&gt;$A84),"",SUMIF('02 Balance Sheet'!$D:$D,"USD",'02 Balance Sheet'!$H:$H))</x:f>
      </x:c>
      <x:c r="I84" s="14" t="str">
        <x:f>IF(OR(A84="",'02 Balance Sheet'!$B$2&lt;&gt;$A84),"",SUMIF('02 Balance Sheet'!$D:$D,"HKD",'02 Balance Sheet'!$H:$H))</x:f>
      </x:c>
      <x:c r="J84" s="12" t="str">
        <x:f>IF(A84="","",IF(COUNT(G84:I84)&lt;3,"Awaiting Month-End Snapshot",IF(OR(B84="",D84=""),"Awaiting Monthly Inputs","Ready to Close")))</x:f>
      </x:c>
      <x:c r="K84" s="22"/>
    </x:row>
    <x:row r="85" ht="19.5" customHeight="1">
      <x:c r="A85" s="25"/>
      <x:c r="B85" s="19"/>
      <x:c r="C85" s="19"/>
      <x:c r="D85" s="19"/>
      <x:c r="E85" s="19"/>
      <x:c r="F85" s="14" t="str">
        <x:f>IF(OR(A85="",B85="",D85=""),"",SUM(B85:C85)-N(D85)+N(E85))</x:f>
      </x:c>
      <x:c r="G85" s="14" t="str">
        <x:f>IF(OR(A85="",'02 Balance Sheet'!$B$2&lt;&gt;$A85),"",SUMIF('02 Balance Sheet'!$D:$D,"CNY",'02 Balance Sheet'!$H:$H))</x:f>
      </x:c>
      <x:c r="H85" s="14" t="str">
        <x:f>IF(OR(A85="",'02 Balance Sheet'!$B$2&lt;&gt;$A85),"",SUMIF('02 Balance Sheet'!$D:$D,"USD",'02 Balance Sheet'!$H:$H))</x:f>
      </x:c>
      <x:c r="I85" s="14" t="str">
        <x:f>IF(OR(A85="",'02 Balance Sheet'!$B$2&lt;&gt;$A85),"",SUMIF('02 Balance Sheet'!$D:$D,"HKD",'02 Balance Sheet'!$H:$H))</x:f>
      </x:c>
      <x:c r="J85" s="12" t="str">
        <x:f>IF(A85="","",IF(COUNT(G85:I85)&lt;3,"Awaiting Month-End Snapshot",IF(OR(B85="",D85=""),"Awaiting Monthly Inputs","Ready to Close")))</x:f>
      </x:c>
      <x:c r="K85" s="22"/>
    </x:row>
    <x:row r="86" ht="19.5" customHeight="1">
      <x:c r="A86" s="25"/>
      <x:c r="B86" s="19"/>
      <x:c r="C86" s="19"/>
      <x:c r="D86" s="19"/>
      <x:c r="E86" s="19"/>
      <x:c r="F86" s="14" t="str">
        <x:f>IF(OR(A86="",B86="",D86=""),"",SUM(B86:C86)-N(D86)+N(E86))</x:f>
      </x:c>
      <x:c r="G86" s="14" t="str">
        <x:f>IF(OR(A86="",'02 Balance Sheet'!$B$2&lt;&gt;$A86),"",SUMIF('02 Balance Sheet'!$D:$D,"CNY",'02 Balance Sheet'!$H:$H))</x:f>
      </x:c>
      <x:c r="H86" s="14" t="str">
        <x:f>IF(OR(A86="",'02 Balance Sheet'!$B$2&lt;&gt;$A86),"",SUMIF('02 Balance Sheet'!$D:$D,"USD",'02 Balance Sheet'!$H:$H))</x:f>
      </x:c>
      <x:c r="I86" s="14" t="str">
        <x:f>IF(OR(A86="",'02 Balance Sheet'!$B$2&lt;&gt;$A86),"",SUMIF('02 Balance Sheet'!$D:$D,"HKD",'02 Balance Sheet'!$H:$H))</x:f>
      </x:c>
      <x:c r="J86" s="12" t="str">
        <x:f>IF(A86="","",IF(COUNT(G86:I86)&lt;3,"Awaiting Month-End Snapshot",IF(OR(B86="",D86=""),"Awaiting Monthly Inputs","Ready to Close")))</x:f>
      </x:c>
      <x:c r="K86" s="22"/>
    </x:row>
    <x:row r="87" ht="19.5" customHeight="1">
      <x:c r="A87" s="25"/>
      <x:c r="B87" s="19"/>
      <x:c r="C87" s="19"/>
      <x:c r="D87" s="19"/>
      <x:c r="E87" s="19"/>
      <x:c r="F87" s="14" t="str">
        <x:f>IF(OR(A87="",B87="",D87=""),"",SUM(B87:C87)-N(D87)+N(E87))</x:f>
      </x:c>
      <x:c r="G87" s="14" t="str">
        <x:f>IF(OR(A87="",'02 Balance Sheet'!$B$2&lt;&gt;$A87),"",SUMIF('02 Balance Sheet'!$D:$D,"CNY",'02 Balance Sheet'!$H:$H))</x:f>
      </x:c>
      <x:c r="H87" s="14" t="str">
        <x:f>IF(OR(A87="",'02 Balance Sheet'!$B$2&lt;&gt;$A87),"",SUMIF('02 Balance Sheet'!$D:$D,"USD",'02 Balance Sheet'!$H:$H))</x:f>
      </x:c>
      <x:c r="I87" s="14" t="str">
        <x:f>IF(OR(A87="",'02 Balance Sheet'!$B$2&lt;&gt;$A87),"",SUMIF('02 Balance Sheet'!$D:$D,"HKD",'02 Balance Sheet'!$H:$H))</x:f>
      </x:c>
      <x:c r="J87" s="12" t="str">
        <x:f>IF(A87="","",IF(COUNT(G87:I87)&lt;3,"Awaiting Month-End Snapshot",IF(OR(B87="",D87=""),"Awaiting Monthly Inputs","Ready to Close")))</x:f>
      </x:c>
      <x:c r="K87" s="22"/>
    </x:row>
    <x:row r="88" ht="19.5" customHeight="1">
      <x:c r="A88" s="25"/>
      <x:c r="B88" s="19"/>
      <x:c r="C88" s="19"/>
      <x:c r="D88" s="19"/>
      <x:c r="E88" s="19"/>
      <x:c r="F88" s="14" t="str">
        <x:f>IF(OR(A88="",B88="",D88=""),"",SUM(B88:C88)-N(D88)+N(E88))</x:f>
      </x:c>
      <x:c r="G88" s="14" t="str">
        <x:f>IF(OR(A88="",'02 Balance Sheet'!$B$2&lt;&gt;$A88),"",SUMIF('02 Balance Sheet'!$D:$D,"CNY",'02 Balance Sheet'!$H:$H))</x:f>
      </x:c>
      <x:c r="H88" s="14" t="str">
        <x:f>IF(OR(A88="",'02 Balance Sheet'!$B$2&lt;&gt;$A88),"",SUMIF('02 Balance Sheet'!$D:$D,"USD",'02 Balance Sheet'!$H:$H))</x:f>
      </x:c>
      <x:c r="I88" s="14" t="str">
        <x:f>IF(OR(A88="",'02 Balance Sheet'!$B$2&lt;&gt;$A88),"",SUMIF('02 Balance Sheet'!$D:$D,"HKD",'02 Balance Sheet'!$H:$H))</x:f>
      </x:c>
      <x:c r="J88" s="12" t="str">
        <x:f>IF(A88="","",IF(COUNT(G88:I88)&lt;3,"Awaiting Month-End Snapshot",IF(OR(B88="",D88=""),"Awaiting Monthly Inputs","Ready to Close")))</x:f>
      </x:c>
      <x:c r="K88" s="22"/>
    </x:row>
    <x:row r="89" ht="19.5" customHeight="1">
      <x:c r="A89" s="25"/>
      <x:c r="B89" s="19"/>
      <x:c r="C89" s="19"/>
      <x:c r="D89" s="19"/>
      <x:c r="E89" s="19"/>
      <x:c r="F89" s="14" t="str">
        <x:f>IF(OR(A89="",B89="",D89=""),"",SUM(B89:C89)-N(D89)+N(E89))</x:f>
      </x:c>
      <x:c r="G89" s="14" t="str">
        <x:f>IF(OR(A89="",'02 Balance Sheet'!$B$2&lt;&gt;$A89),"",SUMIF('02 Balance Sheet'!$D:$D,"CNY",'02 Balance Sheet'!$H:$H))</x:f>
      </x:c>
      <x:c r="H89" s="14" t="str">
        <x:f>IF(OR(A89="",'02 Balance Sheet'!$B$2&lt;&gt;$A89),"",SUMIF('02 Balance Sheet'!$D:$D,"USD",'02 Balance Sheet'!$H:$H))</x:f>
      </x:c>
      <x:c r="I89" s="14" t="str">
        <x:f>IF(OR(A89="",'02 Balance Sheet'!$B$2&lt;&gt;$A89),"",SUMIF('02 Balance Sheet'!$D:$D,"HKD",'02 Balance Sheet'!$H:$H))</x:f>
      </x:c>
      <x:c r="J89" s="12" t="str">
        <x:f>IF(A89="","",IF(COUNT(G89:I89)&lt;3,"Awaiting Month-End Snapshot",IF(OR(B89="",D89=""),"Awaiting Monthly Inputs","Ready to Close")))</x:f>
      </x:c>
      <x:c r="K89" s="22"/>
    </x:row>
    <x:row r="90" ht="19.5" customHeight="1">
      <x:c r="A90" s="25"/>
      <x:c r="B90" s="19"/>
      <x:c r="C90" s="19"/>
      <x:c r="D90" s="19"/>
      <x:c r="E90" s="19"/>
      <x:c r="F90" s="14" t="str">
        <x:f>IF(OR(A90="",B90="",D90=""),"",SUM(B90:C90)-N(D90)+N(E90))</x:f>
      </x:c>
      <x:c r="G90" s="14" t="str">
        <x:f>IF(OR(A90="",'02 Balance Sheet'!$B$2&lt;&gt;$A90),"",SUMIF('02 Balance Sheet'!$D:$D,"CNY",'02 Balance Sheet'!$H:$H))</x:f>
      </x:c>
      <x:c r="H90" s="14" t="str">
        <x:f>IF(OR(A90="",'02 Balance Sheet'!$B$2&lt;&gt;$A90),"",SUMIF('02 Balance Sheet'!$D:$D,"USD",'02 Balance Sheet'!$H:$H))</x:f>
      </x:c>
      <x:c r="I90" s="14" t="str">
        <x:f>IF(OR(A90="",'02 Balance Sheet'!$B$2&lt;&gt;$A90),"",SUMIF('02 Balance Sheet'!$D:$D,"HKD",'02 Balance Sheet'!$H:$H))</x:f>
      </x:c>
      <x:c r="J90" s="12" t="str">
        <x:f>IF(A90="","",IF(COUNT(G90:I90)&lt;3,"Awaiting Month-End Snapshot",IF(OR(B90="",D90=""),"Awaiting Monthly Inputs","Ready to Close")))</x:f>
      </x:c>
      <x:c r="K90" s="22"/>
    </x:row>
    <x:row r="91" ht="19.5" customHeight="1">
      <x:c r="A91" s="25"/>
      <x:c r="B91" s="19"/>
      <x:c r="C91" s="19"/>
      <x:c r="D91" s="19"/>
      <x:c r="E91" s="19"/>
      <x:c r="F91" s="14" t="str">
        <x:f>IF(OR(A91="",B91="",D91=""),"",SUM(B91:C91)-N(D91)+N(E91))</x:f>
      </x:c>
      <x:c r="G91" s="14" t="str">
        <x:f>IF(OR(A91="",'02 Balance Sheet'!$B$2&lt;&gt;$A91),"",SUMIF('02 Balance Sheet'!$D:$D,"CNY",'02 Balance Sheet'!$H:$H))</x:f>
      </x:c>
      <x:c r="H91" s="14" t="str">
        <x:f>IF(OR(A91="",'02 Balance Sheet'!$B$2&lt;&gt;$A91),"",SUMIF('02 Balance Sheet'!$D:$D,"USD",'02 Balance Sheet'!$H:$H))</x:f>
      </x:c>
      <x:c r="I91" s="14" t="str">
        <x:f>IF(OR(A91="",'02 Balance Sheet'!$B$2&lt;&gt;$A91),"",SUMIF('02 Balance Sheet'!$D:$D,"HKD",'02 Balance Sheet'!$H:$H))</x:f>
      </x:c>
      <x:c r="J91" s="12" t="str">
        <x:f>IF(A91="","",IF(COUNT(G91:I91)&lt;3,"Awaiting Month-End Snapshot",IF(OR(B91="",D91=""),"Awaiting Monthly Inputs","Ready to Close")))</x:f>
      </x:c>
      <x:c r="K91" s="22"/>
    </x:row>
    <x:row r="92" ht="19.5" customHeight="1">
      <x:c r="A92" s="25"/>
      <x:c r="B92" s="19"/>
      <x:c r="C92" s="19"/>
      <x:c r="D92" s="19"/>
      <x:c r="E92" s="19"/>
      <x:c r="F92" s="14" t="str">
        <x:f>IF(OR(A92="",B92="",D92=""),"",SUM(B92:C92)-N(D92)+N(E92))</x:f>
      </x:c>
      <x:c r="G92" s="14" t="str">
        <x:f>IF(OR(A92="",'02 Balance Sheet'!$B$2&lt;&gt;$A92),"",SUMIF('02 Balance Sheet'!$D:$D,"CNY",'02 Balance Sheet'!$H:$H))</x:f>
      </x:c>
      <x:c r="H92" s="14" t="str">
        <x:f>IF(OR(A92="",'02 Balance Sheet'!$B$2&lt;&gt;$A92),"",SUMIF('02 Balance Sheet'!$D:$D,"USD",'02 Balance Sheet'!$H:$H))</x:f>
      </x:c>
      <x:c r="I92" s="14" t="str">
        <x:f>IF(OR(A92="",'02 Balance Sheet'!$B$2&lt;&gt;$A92),"",SUMIF('02 Balance Sheet'!$D:$D,"HKD",'02 Balance Sheet'!$H:$H))</x:f>
      </x:c>
      <x:c r="J92" s="12" t="str">
        <x:f>IF(A92="","",IF(COUNT(G92:I92)&lt;3,"Awaiting Month-End Snapshot",IF(OR(B92="",D92=""),"Awaiting Monthly Inputs","Ready to Close")))</x:f>
      </x:c>
      <x:c r="K92" s="22"/>
    </x:row>
    <x:row r="93" ht="19.5" customHeight="1">
      <x:c r="A93" s="25"/>
      <x:c r="B93" s="19"/>
      <x:c r="C93" s="19"/>
      <x:c r="D93" s="19"/>
      <x:c r="E93" s="19"/>
      <x:c r="F93" s="14" t="str">
        <x:f>IF(OR(A93="",B93="",D93=""),"",SUM(B93:C93)-N(D93)+N(E93))</x:f>
      </x:c>
      <x:c r="G93" s="14" t="str">
        <x:f>IF(OR(A93="",'02 Balance Sheet'!$B$2&lt;&gt;$A93),"",SUMIF('02 Balance Sheet'!$D:$D,"CNY",'02 Balance Sheet'!$H:$H))</x:f>
      </x:c>
      <x:c r="H93" s="14" t="str">
        <x:f>IF(OR(A93="",'02 Balance Sheet'!$B$2&lt;&gt;$A93),"",SUMIF('02 Balance Sheet'!$D:$D,"USD",'02 Balance Sheet'!$H:$H))</x:f>
      </x:c>
      <x:c r="I93" s="14" t="str">
        <x:f>IF(OR(A93="",'02 Balance Sheet'!$B$2&lt;&gt;$A93),"",SUMIF('02 Balance Sheet'!$D:$D,"HKD",'02 Balance Sheet'!$H:$H))</x:f>
      </x:c>
      <x:c r="J93" s="12" t="str">
        <x:f>IF(A93="","",IF(COUNT(G93:I93)&lt;3,"Awaiting Month-End Snapshot",IF(OR(B93="",D93=""),"Awaiting Monthly Inputs","Ready to Close")))</x:f>
      </x:c>
      <x:c r="K93" s="22"/>
    </x:row>
    <x:row r="94" ht="19.5" customHeight="1">
      <x:c r="A94" s="25"/>
      <x:c r="B94" s="19"/>
      <x:c r="C94" s="19"/>
      <x:c r="D94" s="19"/>
      <x:c r="E94" s="19"/>
      <x:c r="F94" s="14" t="str">
        <x:f>IF(OR(A94="",B94="",D94=""),"",SUM(B94:C94)-N(D94)+N(E94))</x:f>
      </x:c>
      <x:c r="G94" s="14" t="str">
        <x:f>IF(OR(A94="",'02 Balance Sheet'!$B$2&lt;&gt;$A94),"",SUMIF('02 Balance Sheet'!$D:$D,"CNY",'02 Balance Sheet'!$H:$H))</x:f>
      </x:c>
      <x:c r="H94" s="14" t="str">
        <x:f>IF(OR(A94="",'02 Balance Sheet'!$B$2&lt;&gt;$A94),"",SUMIF('02 Balance Sheet'!$D:$D,"USD",'02 Balance Sheet'!$H:$H))</x:f>
      </x:c>
      <x:c r="I94" s="14" t="str">
        <x:f>IF(OR(A94="",'02 Balance Sheet'!$B$2&lt;&gt;$A94),"",SUMIF('02 Balance Sheet'!$D:$D,"HKD",'02 Balance Sheet'!$H:$H))</x:f>
      </x:c>
      <x:c r="J94" s="12" t="str">
        <x:f>IF(A94="","",IF(COUNT(G94:I94)&lt;3,"Awaiting Month-End Snapshot",IF(OR(B94="",D94=""),"Awaiting Monthly Inputs","Ready to Close")))</x:f>
      </x:c>
      <x:c r="K94" s="22"/>
    </x:row>
    <x:row r="95" ht="19.5" customHeight="1">
      <x:c r="A95" s="25"/>
      <x:c r="B95" s="19"/>
      <x:c r="C95" s="19"/>
      <x:c r="D95" s="19"/>
      <x:c r="E95" s="19"/>
      <x:c r="F95" s="14" t="str">
        <x:f>IF(OR(A95="",B95="",D95=""),"",SUM(B95:C95)-N(D95)+N(E95))</x:f>
      </x:c>
      <x:c r="G95" s="14" t="str">
        <x:f>IF(OR(A95="",'02 Balance Sheet'!$B$2&lt;&gt;$A95),"",SUMIF('02 Balance Sheet'!$D:$D,"CNY",'02 Balance Sheet'!$H:$H))</x:f>
      </x:c>
      <x:c r="H95" s="14" t="str">
        <x:f>IF(OR(A95="",'02 Balance Sheet'!$B$2&lt;&gt;$A95),"",SUMIF('02 Balance Sheet'!$D:$D,"USD",'02 Balance Sheet'!$H:$H))</x:f>
      </x:c>
      <x:c r="I95" s="14" t="str">
        <x:f>IF(OR(A95="",'02 Balance Sheet'!$B$2&lt;&gt;$A95),"",SUMIF('02 Balance Sheet'!$D:$D,"HKD",'02 Balance Sheet'!$H:$H))</x:f>
      </x:c>
      <x:c r="J95" s="12" t="str">
        <x:f>IF(A95="","",IF(COUNT(G95:I95)&lt;3,"Awaiting Month-End Snapshot",IF(OR(B95="",D95=""),"Awaiting Monthly Inputs","Ready to Close")))</x:f>
      </x:c>
      <x:c r="K95" s="22"/>
    </x:row>
    <x:row r="96" ht="19.5" customHeight="1">
      <x:c r="A96" s="25"/>
      <x:c r="B96" s="19"/>
      <x:c r="C96" s="19"/>
      <x:c r="D96" s="19"/>
      <x:c r="E96" s="19"/>
      <x:c r="F96" s="14" t="str">
        <x:f>IF(OR(A96="",B96="",D96=""),"",SUM(B96:C96)-N(D96)+N(E96))</x:f>
      </x:c>
      <x:c r="G96" s="14" t="str">
        <x:f>IF(OR(A96="",'02 Balance Sheet'!$B$2&lt;&gt;$A96),"",SUMIF('02 Balance Sheet'!$D:$D,"CNY",'02 Balance Sheet'!$H:$H))</x:f>
      </x:c>
      <x:c r="H96" s="14" t="str">
        <x:f>IF(OR(A96="",'02 Balance Sheet'!$B$2&lt;&gt;$A96),"",SUMIF('02 Balance Sheet'!$D:$D,"USD",'02 Balance Sheet'!$H:$H))</x:f>
      </x:c>
      <x:c r="I96" s="14" t="str">
        <x:f>IF(OR(A96="",'02 Balance Sheet'!$B$2&lt;&gt;$A96),"",SUMIF('02 Balance Sheet'!$D:$D,"HKD",'02 Balance Sheet'!$H:$H))</x:f>
      </x:c>
      <x:c r="J96" s="12" t="str">
        <x:f>IF(A96="","",IF(COUNT(G96:I96)&lt;3,"Awaiting Month-End Snapshot",IF(OR(B96="",D96=""),"Awaiting Monthly Inputs","Ready to Close")))</x:f>
      </x:c>
      <x:c r="K96" s="22"/>
    </x:row>
    <x:row r="97" ht="19.5" customHeight="1">
      <x:c r="A97" s="25"/>
      <x:c r="B97" s="19"/>
      <x:c r="C97" s="19"/>
      <x:c r="D97" s="19"/>
      <x:c r="E97" s="19"/>
      <x:c r="F97" s="14" t="str">
        <x:f>IF(OR(A97="",B97="",D97=""),"",SUM(B97:C97)-N(D97)+N(E97))</x:f>
      </x:c>
      <x:c r="G97" s="14" t="str">
        <x:f>IF(OR(A97="",'02 Balance Sheet'!$B$2&lt;&gt;$A97),"",SUMIF('02 Balance Sheet'!$D:$D,"CNY",'02 Balance Sheet'!$H:$H))</x:f>
      </x:c>
      <x:c r="H97" s="14" t="str">
        <x:f>IF(OR(A97="",'02 Balance Sheet'!$B$2&lt;&gt;$A97),"",SUMIF('02 Balance Sheet'!$D:$D,"USD",'02 Balance Sheet'!$H:$H))</x:f>
      </x:c>
      <x:c r="I97" s="14" t="str">
        <x:f>IF(OR(A97="",'02 Balance Sheet'!$B$2&lt;&gt;$A97),"",SUMIF('02 Balance Sheet'!$D:$D,"HKD",'02 Balance Sheet'!$H:$H))</x:f>
      </x:c>
      <x:c r="J97" s="12" t="str">
        <x:f>IF(A97="","",IF(COUNT(G97:I97)&lt;3,"Awaiting Month-End Snapshot",IF(OR(B97="",D97=""),"Awaiting Monthly Inputs","Ready to Close")))</x:f>
      </x:c>
      <x:c r="K97" s="22"/>
    </x:row>
    <x:row r="98" ht="19.5" customHeight="1">
      <x:c r="A98" s="25"/>
      <x:c r="B98" s="19"/>
      <x:c r="C98" s="19"/>
      <x:c r="D98" s="19"/>
      <x:c r="E98" s="19"/>
      <x:c r="F98" s="14" t="str">
        <x:f>IF(OR(A98="",B98="",D98=""),"",SUM(B98:C98)-N(D98)+N(E98))</x:f>
      </x:c>
      <x:c r="G98" s="14" t="str">
        <x:f>IF(OR(A98="",'02 Balance Sheet'!$B$2&lt;&gt;$A98),"",SUMIF('02 Balance Sheet'!$D:$D,"CNY",'02 Balance Sheet'!$H:$H))</x:f>
      </x:c>
      <x:c r="H98" s="14" t="str">
        <x:f>IF(OR(A98="",'02 Balance Sheet'!$B$2&lt;&gt;$A98),"",SUMIF('02 Balance Sheet'!$D:$D,"USD",'02 Balance Sheet'!$H:$H))</x:f>
      </x:c>
      <x:c r="I98" s="14" t="str">
        <x:f>IF(OR(A98="",'02 Balance Sheet'!$B$2&lt;&gt;$A98),"",SUMIF('02 Balance Sheet'!$D:$D,"HKD",'02 Balance Sheet'!$H:$H))</x:f>
      </x:c>
      <x:c r="J98" s="12" t="str">
        <x:f>IF(A98="","",IF(COUNT(G98:I98)&lt;3,"Awaiting Month-End Snapshot",IF(OR(B98="",D98=""),"Awaiting Monthly Inputs","Ready to Close")))</x:f>
      </x:c>
      <x:c r="K98" s="22"/>
    </x:row>
    <x:row r="99" ht="19.5" customHeight="1">
      <x:c r="A99" s="25"/>
      <x:c r="B99" s="19"/>
      <x:c r="C99" s="19"/>
      <x:c r="D99" s="19"/>
      <x:c r="E99" s="19"/>
      <x:c r="F99" s="14" t="str">
        <x:f>IF(OR(A99="",B99="",D99=""),"",SUM(B99:C99)-N(D99)+N(E99))</x:f>
      </x:c>
      <x:c r="G99" s="14" t="str">
        <x:f>IF(OR(A99="",'02 Balance Sheet'!$B$2&lt;&gt;$A99),"",SUMIF('02 Balance Sheet'!$D:$D,"CNY",'02 Balance Sheet'!$H:$H))</x:f>
      </x:c>
      <x:c r="H99" s="14" t="str">
        <x:f>IF(OR(A99="",'02 Balance Sheet'!$B$2&lt;&gt;$A99),"",SUMIF('02 Balance Sheet'!$D:$D,"USD",'02 Balance Sheet'!$H:$H))</x:f>
      </x:c>
      <x:c r="I99" s="14" t="str">
        <x:f>IF(OR(A99="",'02 Balance Sheet'!$B$2&lt;&gt;$A99),"",SUMIF('02 Balance Sheet'!$D:$D,"HKD",'02 Balance Sheet'!$H:$H))</x:f>
      </x:c>
      <x:c r="J99" s="12" t="str">
        <x:f>IF(A99="","",IF(COUNT(G99:I99)&lt;3,"Awaiting Month-End Snapshot",IF(OR(B99="",D99=""),"Awaiting Monthly Inputs","Ready to Close")))</x:f>
      </x:c>
      <x:c r="K99" s="22"/>
    </x:row>
    <x:row r="100" ht="19.5" customHeight="1">
      <x:c r="A100" s="25"/>
      <x:c r="B100" s="19"/>
      <x:c r="C100" s="19"/>
      <x:c r="D100" s="19"/>
      <x:c r="E100" s="19"/>
      <x:c r="F100" s="14" t="str">
        <x:f>IF(OR(A100="",B100="",D100=""),"",SUM(B100:C100)-N(D100)+N(E100))</x:f>
      </x:c>
      <x:c r="G100" s="14" t="str">
        <x:f>IF(OR(A100="",'02 Balance Sheet'!$B$2&lt;&gt;$A100),"",SUMIF('02 Balance Sheet'!$D:$D,"CNY",'02 Balance Sheet'!$H:$H))</x:f>
      </x:c>
      <x:c r="H100" s="14" t="str">
        <x:f>IF(OR(A100="",'02 Balance Sheet'!$B$2&lt;&gt;$A100),"",SUMIF('02 Balance Sheet'!$D:$D,"USD",'02 Balance Sheet'!$H:$H))</x:f>
      </x:c>
      <x:c r="I100" s="14" t="str">
        <x:f>IF(OR(A100="",'02 Balance Sheet'!$B$2&lt;&gt;$A100),"",SUMIF('02 Balance Sheet'!$D:$D,"HKD",'02 Balance Sheet'!$H:$H))</x:f>
      </x:c>
      <x:c r="J100" s="12" t="str">
        <x:f>IF(A100="","",IF(COUNT(G100:I100)&lt;3,"Awaiting Month-End Snapshot",IF(OR(B100="",D100=""),"Awaiting Monthly Inputs","Ready to Close")))</x:f>
      </x:c>
      <x:c r="K100" s="22"/>
    </x:row>
    <x:row r="101" ht="19.5" customHeight="1">
      <x:c r="A101" s="25"/>
      <x:c r="B101" s="19"/>
      <x:c r="C101" s="19"/>
      <x:c r="D101" s="19"/>
      <x:c r="E101" s="19"/>
      <x:c r="F101" s="14" t="str">
        <x:f>IF(OR(A101="",B101="",D101=""),"",SUM(B101:C101)-N(D101)+N(E101))</x:f>
      </x:c>
      <x:c r="G101" s="14" t="str">
        <x:f>IF(OR(A101="",'02 Balance Sheet'!$B$2&lt;&gt;$A101),"",SUMIF('02 Balance Sheet'!$D:$D,"CNY",'02 Balance Sheet'!$H:$H))</x:f>
      </x:c>
      <x:c r="H101" s="14" t="str">
        <x:f>IF(OR(A101="",'02 Balance Sheet'!$B$2&lt;&gt;$A101),"",SUMIF('02 Balance Sheet'!$D:$D,"USD",'02 Balance Sheet'!$H:$H))</x:f>
      </x:c>
      <x:c r="I101" s="14" t="str">
        <x:f>IF(OR(A101="",'02 Balance Sheet'!$B$2&lt;&gt;$A101),"",SUMIF('02 Balance Sheet'!$D:$D,"HKD",'02 Balance Sheet'!$H:$H))</x:f>
      </x:c>
      <x:c r="J101" s="12" t="str">
        <x:f>IF(A101="","",IF(COUNT(G101:I101)&lt;3,"Awaiting Month-End Snapshot",IF(OR(B101="",D101=""),"Awaiting Monthly Inputs","Ready to Close")))</x:f>
      </x:c>
      <x:c r="K101" s="22"/>
    </x:row>
    <x:row r="102" ht="19.5" customHeight="1">
      <x:c r="A102" s="25"/>
      <x:c r="B102" s="19"/>
      <x:c r="C102" s="19"/>
      <x:c r="D102" s="19"/>
      <x:c r="E102" s="19"/>
      <x:c r="F102" s="14" t="str">
        <x:f>IF(OR(A102="",B102="",D102=""),"",SUM(B102:C102)-N(D102)+N(E102))</x:f>
      </x:c>
      <x:c r="G102" s="14" t="str">
        <x:f>IF(OR(A102="",'02 Balance Sheet'!$B$2&lt;&gt;$A102),"",SUMIF('02 Balance Sheet'!$D:$D,"CNY",'02 Balance Sheet'!$H:$H))</x:f>
      </x:c>
      <x:c r="H102" s="14" t="str">
        <x:f>IF(OR(A102="",'02 Balance Sheet'!$B$2&lt;&gt;$A102),"",SUMIF('02 Balance Sheet'!$D:$D,"USD",'02 Balance Sheet'!$H:$H))</x:f>
      </x:c>
      <x:c r="I102" s="14" t="str">
        <x:f>IF(OR(A102="",'02 Balance Sheet'!$B$2&lt;&gt;$A102),"",SUMIF('02 Balance Sheet'!$D:$D,"HKD",'02 Balance Sheet'!$H:$H))</x:f>
      </x:c>
      <x:c r="J102" s="12" t="str">
        <x:f>IF(A102="","",IF(COUNT(G102:I102)&lt;3,"Awaiting Month-End Snapshot",IF(OR(B102="",D102=""),"Awaiting Monthly Inputs","Ready to Close")))</x:f>
      </x:c>
      <x:c r="K102" s="22"/>
    </x:row>
    <x:row r="103" ht="19.5" customHeight="1">
      <x:c r="A103" s="25"/>
      <x:c r="B103" s="19"/>
      <x:c r="C103" s="19"/>
      <x:c r="D103" s="19"/>
      <x:c r="E103" s="19"/>
      <x:c r="F103" s="14" t="str">
        <x:f>IF(OR(A103="",B103="",D103=""),"",SUM(B103:C103)-N(D103)+N(E103))</x:f>
      </x:c>
      <x:c r="G103" s="14" t="str">
        <x:f>IF(OR(A103="",'02 Balance Sheet'!$B$2&lt;&gt;$A103),"",SUMIF('02 Balance Sheet'!$D:$D,"CNY",'02 Balance Sheet'!$H:$H))</x:f>
      </x:c>
      <x:c r="H103" s="14" t="str">
        <x:f>IF(OR(A103="",'02 Balance Sheet'!$B$2&lt;&gt;$A103),"",SUMIF('02 Balance Sheet'!$D:$D,"USD",'02 Balance Sheet'!$H:$H))</x:f>
      </x:c>
      <x:c r="I103" s="14" t="str">
        <x:f>IF(OR(A103="",'02 Balance Sheet'!$B$2&lt;&gt;$A103),"",SUMIF('02 Balance Sheet'!$D:$D,"HKD",'02 Balance Sheet'!$H:$H))</x:f>
      </x:c>
      <x:c r="J103" s="12" t="str">
        <x:f>IF(A103="","",IF(COUNT(G103:I103)&lt;3,"Awaiting Month-End Snapshot",IF(OR(B103="",D103=""),"Awaiting Monthly Inputs","Ready to Close")))</x:f>
      </x:c>
      <x:c r="K103" s="22"/>
    </x:row>
    <x:row r="104" ht="19.5" customHeight="1">
      <x:c r="A104" s="25"/>
      <x:c r="B104" s="19"/>
      <x:c r="C104" s="19"/>
      <x:c r="D104" s="19"/>
      <x:c r="E104" s="19"/>
      <x:c r="F104" s="14" t="str">
        <x:f>IF(OR(A104="",B104="",D104=""),"",SUM(B104:C104)-N(D104)+N(E104))</x:f>
      </x:c>
      <x:c r="G104" s="14" t="str">
        <x:f>IF(OR(A104="",'02 Balance Sheet'!$B$2&lt;&gt;$A104),"",SUMIF('02 Balance Sheet'!$D:$D,"CNY",'02 Balance Sheet'!$H:$H))</x:f>
      </x:c>
      <x:c r="H104" s="14" t="str">
        <x:f>IF(OR(A104="",'02 Balance Sheet'!$B$2&lt;&gt;$A104),"",SUMIF('02 Balance Sheet'!$D:$D,"USD",'02 Balance Sheet'!$H:$H))</x:f>
      </x:c>
      <x:c r="I104" s="14" t="str">
        <x:f>IF(OR(A104="",'02 Balance Sheet'!$B$2&lt;&gt;$A104),"",SUMIF('02 Balance Sheet'!$D:$D,"HKD",'02 Balance Sheet'!$H:$H))</x:f>
      </x:c>
      <x:c r="J104" s="12" t="str">
        <x:f>IF(A104="","",IF(COUNT(G104:I104)&lt;3,"Awaiting Month-End Snapshot",IF(OR(B104="",D104=""),"Awaiting Monthly Inputs","Ready to Close")))</x:f>
      </x:c>
      <x:c r="K104" s="22"/>
    </x:row>
    <x:row r="105" ht="19.5" customHeight="1">
      <x:c r="A105" s="25"/>
      <x:c r="B105" s="19"/>
      <x:c r="C105" s="19"/>
      <x:c r="D105" s="19"/>
      <x:c r="E105" s="19"/>
      <x:c r="F105" s="14" t="str">
        <x:f>IF(OR(A105="",B105="",D105=""),"",SUM(B105:C105)-N(D105)+N(E105))</x:f>
      </x:c>
      <x:c r="G105" s="14" t="str">
        <x:f>IF(OR(A105="",'02 Balance Sheet'!$B$2&lt;&gt;$A105),"",SUMIF('02 Balance Sheet'!$D:$D,"CNY",'02 Balance Sheet'!$H:$H))</x:f>
      </x:c>
      <x:c r="H105" s="14" t="str">
        <x:f>IF(OR(A105="",'02 Balance Sheet'!$B$2&lt;&gt;$A105),"",SUMIF('02 Balance Sheet'!$D:$D,"USD",'02 Balance Sheet'!$H:$H))</x:f>
      </x:c>
      <x:c r="I105" s="14" t="str">
        <x:f>IF(OR(A105="",'02 Balance Sheet'!$B$2&lt;&gt;$A105),"",SUMIF('02 Balance Sheet'!$D:$D,"HKD",'02 Balance Sheet'!$H:$H))</x:f>
      </x:c>
      <x:c r="J105" s="12" t="str">
        <x:f>IF(A105="","",IF(COUNT(G105:I105)&lt;3,"Awaiting Month-End Snapshot",IF(OR(B105="",D105=""),"Awaiting Monthly Inputs","Ready to Close")))</x:f>
      </x:c>
      <x:c r="K105" s="22"/>
    </x:row>
    <x:row r="106" ht="19.5" customHeight="1">
      <x:c r="A106" s="25"/>
      <x:c r="B106" s="19"/>
      <x:c r="C106" s="19"/>
      <x:c r="D106" s="19"/>
      <x:c r="E106" s="19"/>
      <x:c r="F106" s="14" t="str">
        <x:f>IF(OR(A106="",B106="",D106=""),"",SUM(B106:C106)-N(D106)+N(E106))</x:f>
      </x:c>
      <x:c r="G106" s="14" t="str">
        <x:f>IF(OR(A106="",'02 Balance Sheet'!$B$2&lt;&gt;$A106),"",SUMIF('02 Balance Sheet'!$D:$D,"CNY",'02 Balance Sheet'!$H:$H))</x:f>
      </x:c>
      <x:c r="H106" s="14" t="str">
        <x:f>IF(OR(A106="",'02 Balance Sheet'!$B$2&lt;&gt;$A106),"",SUMIF('02 Balance Sheet'!$D:$D,"USD",'02 Balance Sheet'!$H:$H))</x:f>
      </x:c>
      <x:c r="I106" s="14" t="str">
        <x:f>IF(OR(A106="",'02 Balance Sheet'!$B$2&lt;&gt;$A106),"",SUMIF('02 Balance Sheet'!$D:$D,"HKD",'02 Balance Sheet'!$H:$H))</x:f>
      </x:c>
      <x:c r="J106" s="12" t="str">
        <x:f>IF(A106="","",IF(COUNT(G106:I106)&lt;3,"Awaiting Month-End Snapshot",IF(OR(B106="",D106=""),"Awaiting Monthly Inputs","Ready to Close")))</x:f>
      </x:c>
      <x:c r="K106" s="22"/>
    </x:row>
    <x:row r="107" ht="19.5" customHeight="1">
      <x:c r="A107" s="25"/>
      <x:c r="B107" s="19"/>
      <x:c r="C107" s="19"/>
      <x:c r="D107" s="19"/>
      <x:c r="E107" s="19"/>
      <x:c r="F107" s="14" t="str">
        <x:f>IF(OR(A107="",B107="",D107=""),"",SUM(B107:C107)-N(D107)+N(E107))</x:f>
      </x:c>
      <x:c r="G107" s="14" t="str">
        <x:f>IF(OR(A107="",'02 Balance Sheet'!$B$2&lt;&gt;$A107),"",SUMIF('02 Balance Sheet'!$D:$D,"CNY",'02 Balance Sheet'!$H:$H))</x:f>
      </x:c>
      <x:c r="H107" s="14" t="str">
        <x:f>IF(OR(A107="",'02 Balance Sheet'!$B$2&lt;&gt;$A107),"",SUMIF('02 Balance Sheet'!$D:$D,"USD",'02 Balance Sheet'!$H:$H))</x:f>
      </x:c>
      <x:c r="I107" s="14" t="str">
        <x:f>IF(OR(A107="",'02 Balance Sheet'!$B$2&lt;&gt;$A107),"",SUMIF('02 Balance Sheet'!$D:$D,"HKD",'02 Balance Sheet'!$H:$H))</x:f>
      </x:c>
      <x:c r="J107" s="12" t="str">
        <x:f>IF(A107="","",IF(COUNT(G107:I107)&lt;3,"Awaiting Month-End Snapshot",IF(OR(B107="",D107=""),"Awaiting Monthly Inputs","Ready to Close")))</x:f>
      </x:c>
      <x:c r="K107" s="22"/>
    </x:row>
    <x:row r="108" ht="19.5" customHeight="1">
      <x:c r="A108" s="25"/>
      <x:c r="B108" s="19"/>
      <x:c r="C108" s="19"/>
      <x:c r="D108" s="19"/>
      <x:c r="E108" s="19"/>
      <x:c r="F108" s="14" t="str">
        <x:f>IF(OR(A108="",B108="",D108=""),"",SUM(B108:C108)-N(D108)+N(E108))</x:f>
      </x:c>
      <x:c r="G108" s="14" t="str">
        <x:f>IF(OR(A108="",'02 Balance Sheet'!$B$2&lt;&gt;$A108),"",SUMIF('02 Balance Sheet'!$D:$D,"CNY",'02 Balance Sheet'!$H:$H))</x:f>
      </x:c>
      <x:c r="H108" s="14" t="str">
        <x:f>IF(OR(A108="",'02 Balance Sheet'!$B$2&lt;&gt;$A108),"",SUMIF('02 Balance Sheet'!$D:$D,"USD",'02 Balance Sheet'!$H:$H))</x:f>
      </x:c>
      <x:c r="I108" s="14" t="str">
        <x:f>IF(OR(A108="",'02 Balance Sheet'!$B$2&lt;&gt;$A108),"",SUMIF('02 Balance Sheet'!$D:$D,"HKD",'02 Balance Sheet'!$H:$H))</x:f>
      </x:c>
      <x:c r="J108" s="12" t="str">
        <x:f>IF(A108="","",IF(COUNT(G108:I108)&lt;3,"Awaiting Month-End Snapshot",IF(OR(B108="",D108=""),"Awaiting Monthly Inputs","Ready to Close")))</x:f>
      </x:c>
      <x:c r="K108" s="22"/>
    </x:row>
    <x:row r="109" ht="19.5" customHeight="1">
      <x:c r="A109" s="25"/>
      <x:c r="B109" s="19"/>
      <x:c r="C109" s="19"/>
      <x:c r="D109" s="19"/>
      <x:c r="E109" s="19"/>
      <x:c r="F109" s="14" t="str">
        <x:f>IF(OR(A109="",B109="",D109=""),"",SUM(B109:C109)-N(D109)+N(E109))</x:f>
      </x:c>
      <x:c r="G109" s="14" t="str">
        <x:f>IF(OR(A109="",'02 Balance Sheet'!$B$2&lt;&gt;$A109),"",SUMIF('02 Balance Sheet'!$D:$D,"CNY",'02 Balance Sheet'!$H:$H))</x:f>
      </x:c>
      <x:c r="H109" s="14" t="str">
        <x:f>IF(OR(A109="",'02 Balance Sheet'!$B$2&lt;&gt;$A109),"",SUMIF('02 Balance Sheet'!$D:$D,"USD",'02 Balance Sheet'!$H:$H))</x:f>
      </x:c>
      <x:c r="I109" s="14" t="str">
        <x:f>IF(OR(A109="",'02 Balance Sheet'!$B$2&lt;&gt;$A109),"",SUMIF('02 Balance Sheet'!$D:$D,"HKD",'02 Balance Sheet'!$H:$H))</x:f>
      </x:c>
      <x:c r="J109" s="12" t="str">
        <x:f>IF(A109="","",IF(COUNT(G109:I109)&lt;3,"Awaiting Month-End Snapshot",IF(OR(B109="",D109=""),"Awaiting Monthly Inputs","Ready to Close")))</x:f>
      </x:c>
      <x:c r="K109" s="22"/>
    </x:row>
    <x:row r="110" ht="19.5" customHeight="1">
      <x:c r="A110" s="25"/>
      <x:c r="B110" s="19"/>
      <x:c r="C110" s="19"/>
      <x:c r="D110" s="19"/>
      <x:c r="E110" s="19"/>
      <x:c r="F110" s="14" t="str">
        <x:f>IF(OR(A110="",B110="",D110=""),"",SUM(B110:C110)-N(D110)+N(E110))</x:f>
      </x:c>
      <x:c r="G110" s="14" t="str">
        <x:f>IF(OR(A110="",'02 Balance Sheet'!$B$2&lt;&gt;$A110),"",SUMIF('02 Balance Sheet'!$D:$D,"CNY",'02 Balance Sheet'!$H:$H))</x:f>
      </x:c>
      <x:c r="H110" s="14" t="str">
        <x:f>IF(OR(A110="",'02 Balance Sheet'!$B$2&lt;&gt;$A110),"",SUMIF('02 Balance Sheet'!$D:$D,"USD",'02 Balance Sheet'!$H:$H))</x:f>
      </x:c>
      <x:c r="I110" s="14" t="str">
        <x:f>IF(OR(A110="",'02 Balance Sheet'!$B$2&lt;&gt;$A110),"",SUMIF('02 Balance Sheet'!$D:$D,"HKD",'02 Balance Sheet'!$H:$H))</x:f>
      </x:c>
      <x:c r="J110" s="12" t="str">
        <x:f>IF(A110="","",IF(COUNT(G110:I110)&lt;3,"Awaiting Month-End Snapshot",IF(OR(B110="",D110=""),"Awaiting Monthly Inputs","Ready to Close")))</x:f>
      </x:c>
      <x:c r="K110" s="22"/>
    </x:row>
    <x:row r="111" ht="19.5" customHeight="1">
      <x:c r="A111" s="25"/>
      <x:c r="B111" s="19"/>
      <x:c r="C111" s="19"/>
      <x:c r="D111" s="19"/>
      <x:c r="E111" s="19"/>
      <x:c r="F111" s="14" t="str">
        <x:f>IF(OR(A111="",B111="",D111=""),"",SUM(B111:C111)-N(D111)+N(E111))</x:f>
      </x:c>
      <x:c r="G111" s="14" t="str">
        <x:f>IF(OR(A111="",'02 Balance Sheet'!$B$2&lt;&gt;$A111),"",SUMIF('02 Balance Sheet'!$D:$D,"CNY",'02 Balance Sheet'!$H:$H))</x:f>
      </x:c>
      <x:c r="H111" s="14" t="str">
        <x:f>IF(OR(A111="",'02 Balance Sheet'!$B$2&lt;&gt;$A111),"",SUMIF('02 Balance Sheet'!$D:$D,"USD",'02 Balance Sheet'!$H:$H))</x:f>
      </x:c>
      <x:c r="I111" s="14" t="str">
        <x:f>IF(OR(A111="",'02 Balance Sheet'!$B$2&lt;&gt;$A111),"",SUMIF('02 Balance Sheet'!$D:$D,"HKD",'02 Balance Sheet'!$H:$H))</x:f>
      </x:c>
      <x:c r="J111" s="12" t="str">
        <x:f>IF(A111="","",IF(COUNT(G111:I111)&lt;3,"Awaiting Month-End Snapshot",IF(OR(B111="",D111=""),"Awaiting Monthly Inputs","Ready to Close")))</x:f>
      </x:c>
      <x:c r="K111" s="22"/>
    </x:row>
    <x:row r="112" ht="19.5" customHeight="1">
      <x:c r="A112" s="25"/>
      <x:c r="B112" s="19"/>
      <x:c r="C112" s="19"/>
      <x:c r="D112" s="19"/>
      <x:c r="E112" s="19"/>
      <x:c r="F112" s="14" t="str">
        <x:f>IF(OR(A112="",B112="",D112=""),"",SUM(B112:C112)-N(D112)+N(E112))</x:f>
      </x:c>
      <x:c r="G112" s="14" t="str">
        <x:f>IF(OR(A112="",'02 Balance Sheet'!$B$2&lt;&gt;$A112),"",SUMIF('02 Balance Sheet'!$D:$D,"CNY",'02 Balance Sheet'!$H:$H))</x:f>
      </x:c>
      <x:c r="H112" s="14" t="str">
        <x:f>IF(OR(A112="",'02 Balance Sheet'!$B$2&lt;&gt;$A112),"",SUMIF('02 Balance Sheet'!$D:$D,"USD",'02 Balance Sheet'!$H:$H))</x:f>
      </x:c>
      <x:c r="I112" s="14" t="str">
        <x:f>IF(OR(A112="",'02 Balance Sheet'!$B$2&lt;&gt;$A112),"",SUMIF('02 Balance Sheet'!$D:$D,"HKD",'02 Balance Sheet'!$H:$H))</x:f>
      </x:c>
      <x:c r="J112" s="12" t="str">
        <x:f>IF(A112="","",IF(COUNT(G112:I112)&lt;3,"Awaiting Month-End Snapshot",IF(OR(B112="",D112=""),"Awaiting Monthly Inputs","Ready to Close")))</x:f>
      </x:c>
      <x:c r="K112" s="22"/>
    </x:row>
    <x:row r="113" ht="19.5" customHeight="1">
      <x:c r="A113" s="25"/>
      <x:c r="B113" s="19"/>
      <x:c r="C113" s="19"/>
      <x:c r="D113" s="19"/>
      <x:c r="E113" s="19"/>
      <x:c r="F113" s="14" t="str">
        <x:f>IF(OR(A113="",B113="",D113=""),"",SUM(B113:C113)-N(D113)+N(E113))</x:f>
      </x:c>
      <x:c r="G113" s="14" t="str">
        <x:f>IF(OR(A113="",'02 Balance Sheet'!$B$2&lt;&gt;$A113),"",SUMIF('02 Balance Sheet'!$D:$D,"CNY",'02 Balance Sheet'!$H:$H))</x:f>
      </x:c>
      <x:c r="H113" s="14" t="str">
        <x:f>IF(OR(A113="",'02 Balance Sheet'!$B$2&lt;&gt;$A113),"",SUMIF('02 Balance Sheet'!$D:$D,"USD",'02 Balance Sheet'!$H:$H))</x:f>
      </x:c>
      <x:c r="I113" s="14" t="str">
        <x:f>IF(OR(A113="",'02 Balance Sheet'!$B$2&lt;&gt;$A113),"",SUMIF('02 Balance Sheet'!$D:$D,"HKD",'02 Balance Sheet'!$H:$H))</x:f>
      </x:c>
      <x:c r="J113" s="12" t="str">
        <x:f>IF(A113="","",IF(COUNT(G113:I113)&lt;3,"Awaiting Month-End Snapshot",IF(OR(B113="",D113=""),"Awaiting Monthly Inputs","Ready to Close")))</x:f>
      </x:c>
      <x:c r="K113" s="22"/>
    </x:row>
    <x:row r="114" ht="19.5" customHeight="1">
      <x:c r="A114" s="25"/>
      <x:c r="B114" s="19"/>
      <x:c r="C114" s="19"/>
      <x:c r="D114" s="19"/>
      <x:c r="E114" s="19"/>
      <x:c r="F114" s="14" t="str">
        <x:f>IF(OR(A114="",B114="",D114=""),"",SUM(B114:C114)-N(D114)+N(E114))</x:f>
      </x:c>
      <x:c r="G114" s="14" t="str">
        <x:f>IF(OR(A114="",'02 Balance Sheet'!$B$2&lt;&gt;$A114),"",SUMIF('02 Balance Sheet'!$D:$D,"CNY",'02 Balance Sheet'!$H:$H))</x:f>
      </x:c>
      <x:c r="H114" s="14" t="str">
        <x:f>IF(OR(A114="",'02 Balance Sheet'!$B$2&lt;&gt;$A114),"",SUMIF('02 Balance Sheet'!$D:$D,"USD",'02 Balance Sheet'!$H:$H))</x:f>
      </x:c>
      <x:c r="I114" s="14" t="str">
        <x:f>IF(OR(A114="",'02 Balance Sheet'!$B$2&lt;&gt;$A114),"",SUMIF('02 Balance Sheet'!$D:$D,"HKD",'02 Balance Sheet'!$H:$H))</x:f>
      </x:c>
      <x:c r="J114" s="12" t="str">
        <x:f>IF(A114="","",IF(COUNT(G114:I114)&lt;3,"Awaiting Month-End Snapshot",IF(OR(B114="",D114=""),"Awaiting Monthly Inputs","Ready to Close")))</x:f>
      </x:c>
      <x:c r="K114" s="22"/>
    </x:row>
    <x:row r="115" ht="19.5" customHeight="1">
      <x:c r="A115" s="25"/>
      <x:c r="B115" s="19"/>
      <x:c r="C115" s="19"/>
      <x:c r="D115" s="19"/>
      <x:c r="E115" s="19"/>
      <x:c r="F115" s="14" t="str">
        <x:f>IF(OR(A115="",B115="",D115=""),"",SUM(B115:C115)-N(D115)+N(E115))</x:f>
      </x:c>
      <x:c r="G115" s="14" t="str">
        <x:f>IF(OR(A115="",'02 Balance Sheet'!$B$2&lt;&gt;$A115),"",SUMIF('02 Balance Sheet'!$D:$D,"CNY",'02 Balance Sheet'!$H:$H))</x:f>
      </x:c>
      <x:c r="H115" s="14" t="str">
        <x:f>IF(OR(A115="",'02 Balance Sheet'!$B$2&lt;&gt;$A115),"",SUMIF('02 Balance Sheet'!$D:$D,"USD",'02 Balance Sheet'!$H:$H))</x:f>
      </x:c>
      <x:c r="I115" s="14" t="str">
        <x:f>IF(OR(A115="",'02 Balance Sheet'!$B$2&lt;&gt;$A115),"",SUMIF('02 Balance Sheet'!$D:$D,"HKD",'02 Balance Sheet'!$H:$H))</x:f>
      </x:c>
      <x:c r="J115" s="12" t="str">
        <x:f>IF(A115="","",IF(COUNT(G115:I115)&lt;3,"Awaiting Month-End Snapshot",IF(OR(B115="",D115=""),"Awaiting Monthly Inputs","Ready to Close")))</x:f>
      </x:c>
      <x:c r="K115" s="22"/>
    </x:row>
    <x:row r="116" ht="19.5" customHeight="1">
      <x:c r="A116" s="25"/>
      <x:c r="B116" s="19"/>
      <x:c r="C116" s="19"/>
      <x:c r="D116" s="19"/>
      <x:c r="E116" s="19"/>
      <x:c r="F116" s="14" t="str">
        <x:f>IF(OR(A116="",B116="",D116=""),"",SUM(B116:C116)-N(D116)+N(E116))</x:f>
      </x:c>
      <x:c r="G116" s="14" t="str">
        <x:f>IF(OR(A116="",'02 Balance Sheet'!$B$2&lt;&gt;$A116),"",SUMIF('02 Balance Sheet'!$D:$D,"CNY",'02 Balance Sheet'!$H:$H))</x:f>
      </x:c>
      <x:c r="H116" s="14" t="str">
        <x:f>IF(OR(A116="",'02 Balance Sheet'!$B$2&lt;&gt;$A116),"",SUMIF('02 Balance Sheet'!$D:$D,"USD",'02 Balance Sheet'!$H:$H))</x:f>
      </x:c>
      <x:c r="I116" s="14" t="str">
        <x:f>IF(OR(A116="",'02 Balance Sheet'!$B$2&lt;&gt;$A116),"",SUMIF('02 Balance Sheet'!$D:$D,"HKD",'02 Balance Sheet'!$H:$H))</x:f>
      </x:c>
      <x:c r="J116" s="12" t="str">
        <x:f>IF(A116="","",IF(COUNT(G116:I116)&lt;3,"Awaiting Month-End Snapshot",IF(OR(B116="",D116=""),"Awaiting Monthly Inputs","Ready to Close")))</x:f>
      </x:c>
      <x:c r="K116" s="22"/>
    </x:row>
    <x:row r="117" ht="19.5" customHeight="1">
      <x:c r="A117" s="25"/>
      <x:c r="B117" s="19"/>
      <x:c r="C117" s="19"/>
      <x:c r="D117" s="19"/>
      <x:c r="E117" s="19"/>
      <x:c r="F117" s="14" t="str">
        <x:f>IF(OR(A117="",B117="",D117=""),"",SUM(B117:C117)-N(D117)+N(E117))</x:f>
      </x:c>
      <x:c r="G117" s="14" t="str">
        <x:f>IF(OR(A117="",'02 Balance Sheet'!$B$2&lt;&gt;$A117),"",SUMIF('02 Balance Sheet'!$D:$D,"CNY",'02 Balance Sheet'!$H:$H))</x:f>
      </x:c>
      <x:c r="H117" s="14" t="str">
        <x:f>IF(OR(A117="",'02 Balance Sheet'!$B$2&lt;&gt;$A117),"",SUMIF('02 Balance Sheet'!$D:$D,"USD",'02 Balance Sheet'!$H:$H))</x:f>
      </x:c>
      <x:c r="I117" s="14" t="str">
        <x:f>IF(OR(A117="",'02 Balance Sheet'!$B$2&lt;&gt;$A117),"",SUMIF('02 Balance Sheet'!$D:$D,"HKD",'02 Balance Sheet'!$H:$H))</x:f>
      </x:c>
      <x:c r="J117" s="12" t="str">
        <x:f>IF(A117="","",IF(COUNT(G117:I117)&lt;3,"Awaiting Month-End Snapshot",IF(OR(B117="",D117=""),"Awaiting Monthly Inputs","Ready to Close")))</x:f>
      </x:c>
      <x:c r="K117" s="22"/>
    </x:row>
    <x:row r="118" ht="19.5" customHeight="1">
      <x:c r="A118" s="25"/>
      <x:c r="B118" s="19"/>
      <x:c r="C118" s="19"/>
      <x:c r="D118" s="19"/>
      <x:c r="E118" s="19"/>
      <x:c r="F118" s="14" t="str">
        <x:f>IF(OR(A118="",B118="",D118=""),"",SUM(B118:C118)-N(D118)+N(E118))</x:f>
      </x:c>
      <x:c r="G118" s="14" t="str">
        <x:f>IF(OR(A118="",'02 Balance Sheet'!$B$2&lt;&gt;$A118),"",SUMIF('02 Balance Sheet'!$D:$D,"CNY",'02 Balance Sheet'!$H:$H))</x:f>
      </x:c>
      <x:c r="H118" s="14" t="str">
        <x:f>IF(OR(A118="",'02 Balance Sheet'!$B$2&lt;&gt;$A118),"",SUMIF('02 Balance Sheet'!$D:$D,"USD",'02 Balance Sheet'!$H:$H))</x:f>
      </x:c>
      <x:c r="I118" s="14" t="str">
        <x:f>IF(OR(A118="",'02 Balance Sheet'!$B$2&lt;&gt;$A118),"",SUMIF('02 Balance Sheet'!$D:$D,"HKD",'02 Balance Sheet'!$H:$H))</x:f>
      </x:c>
      <x:c r="J118" s="12" t="str">
        <x:f>IF(A118="","",IF(COUNT(G118:I118)&lt;3,"Awaiting Month-End Snapshot",IF(OR(B118="",D118=""),"Awaiting Monthly Inputs","Ready to Close")))</x:f>
      </x:c>
      <x:c r="K118" s="22"/>
    </x:row>
    <x:row r="119" ht="19.5" customHeight="1">
      <x:c r="A119" s="25"/>
      <x:c r="B119" s="19"/>
      <x:c r="C119" s="19"/>
      <x:c r="D119" s="19"/>
      <x:c r="E119" s="19"/>
      <x:c r="F119" s="14" t="str">
        <x:f>IF(OR(A119="",B119="",D119=""),"",SUM(B119:C119)-N(D119)+N(E119))</x:f>
      </x:c>
      <x:c r="G119" s="14" t="str">
        <x:f>IF(OR(A119="",'02 Balance Sheet'!$B$2&lt;&gt;$A119),"",SUMIF('02 Balance Sheet'!$D:$D,"CNY",'02 Balance Sheet'!$H:$H))</x:f>
      </x:c>
      <x:c r="H119" s="14" t="str">
        <x:f>IF(OR(A119="",'02 Balance Sheet'!$B$2&lt;&gt;$A119),"",SUMIF('02 Balance Sheet'!$D:$D,"USD",'02 Balance Sheet'!$H:$H))</x:f>
      </x:c>
      <x:c r="I119" s="14" t="str">
        <x:f>IF(OR(A119="",'02 Balance Sheet'!$B$2&lt;&gt;$A119),"",SUMIF('02 Balance Sheet'!$D:$D,"HKD",'02 Balance Sheet'!$H:$H))</x:f>
      </x:c>
      <x:c r="J119" s="12" t="str">
        <x:f>IF(A119="","",IF(COUNT(G119:I119)&lt;3,"Awaiting Month-End Snapshot",IF(OR(B119="",D119=""),"Awaiting Monthly Inputs","Ready to Close")))</x:f>
      </x:c>
      <x:c r="K119" s="22"/>
    </x:row>
    <x:row r="120" ht="19.5" customHeight="1">
      <x:c r="A120" s="25"/>
      <x:c r="B120" s="19"/>
      <x:c r="C120" s="19"/>
      <x:c r="D120" s="19"/>
      <x:c r="E120" s="19"/>
      <x:c r="F120" s="14" t="str">
        <x:f>IF(OR(A120="",B120="",D120=""),"",SUM(B120:C120)-N(D120)+N(E120))</x:f>
      </x:c>
      <x:c r="G120" s="14" t="str">
        <x:f>IF(OR(A120="",'02 Balance Sheet'!$B$2&lt;&gt;$A120),"",SUMIF('02 Balance Sheet'!$D:$D,"CNY",'02 Balance Sheet'!$H:$H))</x:f>
      </x:c>
      <x:c r="H120" s="14" t="str">
        <x:f>IF(OR(A120="",'02 Balance Sheet'!$B$2&lt;&gt;$A120),"",SUMIF('02 Balance Sheet'!$D:$D,"USD",'02 Balance Sheet'!$H:$H))</x:f>
      </x:c>
      <x:c r="I120" s="14" t="str">
        <x:f>IF(OR(A120="",'02 Balance Sheet'!$B$2&lt;&gt;$A120),"",SUMIF('02 Balance Sheet'!$D:$D,"HKD",'02 Balance Sheet'!$H:$H))</x:f>
      </x:c>
      <x:c r="J120" s="12" t="str">
        <x:f>IF(A120="","",IF(COUNT(G120:I120)&lt;3,"Awaiting Month-End Snapshot",IF(OR(B120="",D120=""),"Awaiting Monthly Inputs","Ready to Close")))</x:f>
      </x:c>
      <x:c r="K120" s="22"/>
    </x:row>
    <x:row r="121" ht="19.5" customHeight="1">
      <x:c r="A121" s="25"/>
      <x:c r="B121" s="19"/>
      <x:c r="C121" s="19"/>
      <x:c r="D121" s="19"/>
      <x:c r="E121" s="19"/>
      <x:c r="F121" s="14" t="str">
        <x:f>IF(OR(A121="",B121="",D121=""),"",SUM(B121:C121)-N(D121)+N(E121))</x:f>
      </x:c>
      <x:c r="G121" s="14" t="str">
        <x:f>IF(OR(A121="",'02 Balance Sheet'!$B$2&lt;&gt;$A121),"",SUMIF('02 Balance Sheet'!$D:$D,"CNY",'02 Balance Sheet'!$H:$H))</x:f>
      </x:c>
      <x:c r="H121" s="14" t="str">
        <x:f>IF(OR(A121="",'02 Balance Sheet'!$B$2&lt;&gt;$A121),"",SUMIF('02 Balance Sheet'!$D:$D,"USD",'02 Balance Sheet'!$H:$H))</x:f>
      </x:c>
      <x:c r="I121" s="14" t="str">
        <x:f>IF(OR(A121="",'02 Balance Sheet'!$B$2&lt;&gt;$A121),"",SUMIF('02 Balance Sheet'!$D:$D,"HKD",'02 Balance Sheet'!$H:$H))</x:f>
      </x:c>
      <x:c r="J121" s="12" t="str">
        <x:f>IF(A121="","",IF(COUNT(G121:I121)&lt;3,"Awaiting Month-End Snapshot",IF(OR(B121="",D121=""),"Awaiting Monthly Inputs","Ready to Close")))</x:f>
      </x:c>
      <x:c r="K121" s="22"/>
    </x:row>
    <x:row r="122" ht="19.5" customHeight="1">
      <x:c r="A122" s="25"/>
      <x:c r="B122" s="19"/>
      <x:c r="C122" s="19"/>
      <x:c r="D122" s="19"/>
      <x:c r="E122" s="19"/>
      <x:c r="F122" s="14" t="str">
        <x:f>IF(OR(A122="",B122="",D122=""),"",SUM(B122:C122)-N(D122)+N(E122))</x:f>
      </x:c>
      <x:c r="G122" s="14" t="str">
        <x:f>IF(OR(A122="",'02 Balance Sheet'!$B$2&lt;&gt;$A122),"",SUMIF('02 Balance Sheet'!$D:$D,"CNY",'02 Balance Sheet'!$H:$H))</x:f>
      </x:c>
      <x:c r="H122" s="14" t="str">
        <x:f>IF(OR(A122="",'02 Balance Sheet'!$B$2&lt;&gt;$A122),"",SUMIF('02 Balance Sheet'!$D:$D,"USD",'02 Balance Sheet'!$H:$H))</x:f>
      </x:c>
      <x:c r="I122" s="14" t="str">
        <x:f>IF(OR(A122="",'02 Balance Sheet'!$B$2&lt;&gt;$A122),"",SUMIF('02 Balance Sheet'!$D:$D,"HKD",'02 Balance Sheet'!$H:$H))</x:f>
      </x:c>
      <x:c r="J122" s="12" t="str">
        <x:f>IF(A122="","",IF(COUNT(G122:I122)&lt;3,"Awaiting Month-End Snapshot",IF(OR(B122="",D122=""),"Awaiting Monthly Inputs","Ready to Close")))</x:f>
      </x:c>
      <x:c r="K122" s="22"/>
    </x:row>
    <x:row r="123" ht="19.5" customHeight="1">
      <x:c r="A123" s="25"/>
      <x:c r="B123" s="19"/>
      <x:c r="C123" s="19"/>
      <x:c r="D123" s="19"/>
      <x:c r="E123" s="19"/>
      <x:c r="F123" s="14" t="str">
        <x:f>IF(OR(A123="",B123="",D123=""),"",SUM(B123:C123)-N(D123)+N(E123))</x:f>
      </x:c>
      <x:c r="G123" s="14" t="str">
        <x:f>IF(OR(A123="",'02 Balance Sheet'!$B$2&lt;&gt;$A123),"",SUMIF('02 Balance Sheet'!$D:$D,"CNY",'02 Balance Sheet'!$H:$H))</x:f>
      </x:c>
      <x:c r="H123" s="14" t="str">
        <x:f>IF(OR(A123="",'02 Balance Sheet'!$B$2&lt;&gt;$A123),"",SUMIF('02 Balance Sheet'!$D:$D,"USD",'02 Balance Sheet'!$H:$H))</x:f>
      </x:c>
      <x:c r="I123" s="14" t="str">
        <x:f>IF(OR(A123="",'02 Balance Sheet'!$B$2&lt;&gt;$A123),"",SUMIF('02 Balance Sheet'!$D:$D,"HKD",'02 Balance Sheet'!$H:$H))</x:f>
      </x:c>
      <x:c r="J123" s="12" t="str">
        <x:f>IF(A123="","",IF(COUNT(G123:I123)&lt;3,"Awaiting Month-End Snapshot",IF(OR(B123="",D123=""),"Awaiting Monthly Inputs","Ready to Close")))</x:f>
      </x:c>
      <x:c r="K123" s="22"/>
    </x:row>
    <x:row r="124" ht="19.5" customHeight="1">
      <x:c r="A124" s="25"/>
      <x:c r="B124" s="19"/>
      <x:c r="C124" s="19"/>
      <x:c r="D124" s="19"/>
      <x:c r="E124" s="19"/>
      <x:c r="F124" s="14" t="str">
        <x:f>IF(OR(A124="",B124="",D124=""),"",SUM(B124:C124)-N(D124)+N(E124))</x:f>
      </x:c>
      <x:c r="G124" s="14" t="str">
        <x:f>IF(OR(A124="",'02 Balance Sheet'!$B$2&lt;&gt;$A124),"",SUMIF('02 Balance Sheet'!$D:$D,"CNY",'02 Balance Sheet'!$H:$H))</x:f>
      </x:c>
      <x:c r="H124" s="14" t="str">
        <x:f>IF(OR(A124="",'02 Balance Sheet'!$B$2&lt;&gt;$A124),"",SUMIF('02 Balance Sheet'!$D:$D,"USD",'02 Balance Sheet'!$H:$H))</x:f>
      </x:c>
      <x:c r="I124" s="14" t="str">
        <x:f>IF(OR(A124="",'02 Balance Sheet'!$B$2&lt;&gt;$A124),"",SUMIF('02 Balance Sheet'!$D:$D,"HKD",'02 Balance Sheet'!$H:$H))</x:f>
      </x:c>
      <x:c r="J124" s="12" t="str">
        <x:f>IF(A124="","",IF(COUNT(G124:I124)&lt;3,"Awaiting Month-End Snapshot",IF(OR(B124="",D124=""),"Awaiting Monthly Inputs","Ready to Close")))</x:f>
      </x:c>
      <x:c r="K124" s="22"/>
    </x:row>
    <x:row r="125" ht="19.5" customHeight="1">
      <x:c r="A125" s="25"/>
      <x:c r="B125" s="19"/>
      <x:c r="C125" s="19"/>
      <x:c r="D125" s="19"/>
      <x:c r="E125" s="19"/>
      <x:c r="F125" s="14" t="str">
        <x:f>IF(OR(A125="",B125="",D125=""),"",SUM(B125:C125)-N(D125)+N(E125))</x:f>
      </x:c>
      <x:c r="G125" s="14" t="str">
        <x:f>IF(OR(A125="",'02 Balance Sheet'!$B$2&lt;&gt;$A125),"",SUMIF('02 Balance Sheet'!$D:$D,"CNY",'02 Balance Sheet'!$H:$H))</x:f>
      </x:c>
      <x:c r="H125" s="14" t="str">
        <x:f>IF(OR(A125="",'02 Balance Sheet'!$B$2&lt;&gt;$A125),"",SUMIF('02 Balance Sheet'!$D:$D,"USD",'02 Balance Sheet'!$H:$H))</x:f>
      </x:c>
      <x:c r="I125" s="14" t="str">
        <x:f>IF(OR(A125="",'02 Balance Sheet'!$B$2&lt;&gt;$A125),"",SUMIF('02 Balance Sheet'!$D:$D,"HKD",'02 Balance Sheet'!$H:$H))</x:f>
      </x:c>
      <x:c r="J125" s="12" t="str">
        <x:f>IF(A125="","",IF(COUNT(G125:I125)&lt;3,"Awaiting Month-End Snapshot",IF(OR(B125="",D125=""),"Awaiting Monthly Inputs","Ready to Close")))</x:f>
      </x:c>
      <x:c r="K125" s="22"/>
    </x:row>
    <x:row r="126" ht="19.5" customHeight="1">
      <x:c r="A126" s="25"/>
      <x:c r="B126" s="19"/>
      <x:c r="C126" s="19"/>
      <x:c r="D126" s="19"/>
      <x:c r="E126" s="19"/>
      <x:c r="F126" s="14" t="str">
        <x:f>IF(OR(A126="",B126="",D126=""),"",SUM(B126:C126)-N(D126)+N(E126))</x:f>
      </x:c>
      <x:c r="G126" s="14" t="str">
        <x:f>IF(OR(A126="",'02 Balance Sheet'!$B$2&lt;&gt;$A126),"",SUMIF('02 Balance Sheet'!$D:$D,"CNY",'02 Balance Sheet'!$H:$H))</x:f>
      </x:c>
      <x:c r="H126" s="14" t="str">
        <x:f>IF(OR(A126="",'02 Balance Sheet'!$B$2&lt;&gt;$A126),"",SUMIF('02 Balance Sheet'!$D:$D,"USD",'02 Balance Sheet'!$H:$H))</x:f>
      </x:c>
      <x:c r="I126" s="14" t="str">
        <x:f>IF(OR(A126="",'02 Balance Sheet'!$B$2&lt;&gt;$A126),"",SUMIF('02 Balance Sheet'!$D:$D,"HKD",'02 Balance Sheet'!$H:$H))</x:f>
      </x:c>
      <x:c r="J126" s="12" t="str">
        <x:f>IF(A126="","",IF(COUNT(G126:I126)&lt;3,"Awaiting Month-End Snapshot",IF(OR(B126="",D126=""),"Awaiting Monthly Inputs","Ready to Close")))</x:f>
      </x:c>
      <x:c r="K126" s="22"/>
    </x:row>
    <x:row r="127" ht="19.5" customHeight="1">
      <x:c r="A127" s="25"/>
      <x:c r="B127" s="19"/>
      <x:c r="C127" s="19"/>
      <x:c r="D127" s="19"/>
      <x:c r="E127" s="19"/>
      <x:c r="F127" s="14" t="str">
        <x:f>IF(OR(A127="",B127="",D127=""),"",SUM(B127:C127)-N(D127)+N(E127))</x:f>
      </x:c>
      <x:c r="G127" s="14" t="str">
        <x:f>IF(OR(A127="",'02 Balance Sheet'!$B$2&lt;&gt;$A127),"",SUMIF('02 Balance Sheet'!$D:$D,"CNY",'02 Balance Sheet'!$H:$H))</x:f>
      </x:c>
      <x:c r="H127" s="14" t="str">
        <x:f>IF(OR(A127="",'02 Balance Sheet'!$B$2&lt;&gt;$A127),"",SUMIF('02 Balance Sheet'!$D:$D,"USD",'02 Balance Sheet'!$H:$H))</x:f>
      </x:c>
      <x:c r="I127" s="14" t="str">
        <x:f>IF(OR(A127="",'02 Balance Sheet'!$B$2&lt;&gt;$A127),"",SUMIF('02 Balance Sheet'!$D:$D,"HKD",'02 Balance Sheet'!$H:$H))</x:f>
      </x:c>
      <x:c r="J127" s="12" t="str">
        <x:f>IF(A127="","",IF(COUNT(G127:I127)&lt;3,"Awaiting Month-End Snapshot",IF(OR(B127="",D127=""),"Awaiting Monthly Inputs","Ready to Close")))</x:f>
      </x:c>
      <x:c r="K127" s="22"/>
    </x:row>
    <x:row r="128" ht="19.5" customHeight="1">
      <x:c r="A128" s="25"/>
      <x:c r="B128" s="19"/>
      <x:c r="C128" s="19"/>
      <x:c r="D128" s="19"/>
      <x:c r="E128" s="19"/>
      <x:c r="F128" s="14" t="str">
        <x:f>IF(OR(A128="",B128="",D128=""),"",SUM(B128:C128)-N(D128)+N(E128))</x:f>
      </x:c>
      <x:c r="G128" s="14" t="str">
        <x:f>IF(OR(A128="",'02 Balance Sheet'!$B$2&lt;&gt;$A128),"",SUMIF('02 Balance Sheet'!$D:$D,"CNY",'02 Balance Sheet'!$H:$H))</x:f>
      </x:c>
      <x:c r="H128" s="14" t="str">
        <x:f>IF(OR(A128="",'02 Balance Sheet'!$B$2&lt;&gt;$A128),"",SUMIF('02 Balance Sheet'!$D:$D,"USD",'02 Balance Sheet'!$H:$H))</x:f>
      </x:c>
      <x:c r="I128" s="14" t="str">
        <x:f>IF(OR(A128="",'02 Balance Sheet'!$B$2&lt;&gt;$A128),"",SUMIF('02 Balance Sheet'!$D:$D,"HKD",'02 Balance Sheet'!$H:$H))</x:f>
      </x:c>
      <x:c r="J128" s="12" t="str">
        <x:f>IF(A128="","",IF(COUNT(G128:I128)&lt;3,"Awaiting Month-End Snapshot",IF(OR(B128="",D128=""),"Awaiting Monthly Inputs","Ready to Close")))</x:f>
      </x:c>
      <x:c r="K128" s="22"/>
    </x:row>
    <x:row r="129" ht="19.5" customHeight="1">
      <x:c r="A129" s="25"/>
      <x:c r="B129" s="19"/>
      <x:c r="C129" s="19"/>
      <x:c r="D129" s="19"/>
      <x:c r="E129" s="19"/>
      <x:c r="F129" s="14" t="str">
        <x:f>IF(OR(A129="",B129="",D129=""),"",SUM(B129:C129)-N(D129)+N(E129))</x:f>
      </x:c>
      <x:c r="G129" s="14" t="str">
        <x:f>IF(OR(A129="",'02 Balance Sheet'!$B$2&lt;&gt;$A129),"",SUMIF('02 Balance Sheet'!$D:$D,"CNY",'02 Balance Sheet'!$H:$H))</x:f>
      </x:c>
      <x:c r="H129" s="14" t="str">
        <x:f>IF(OR(A129="",'02 Balance Sheet'!$B$2&lt;&gt;$A129),"",SUMIF('02 Balance Sheet'!$D:$D,"USD",'02 Balance Sheet'!$H:$H))</x:f>
      </x:c>
      <x:c r="I129" s="14" t="str">
        <x:f>IF(OR(A129="",'02 Balance Sheet'!$B$2&lt;&gt;$A129),"",SUMIF('02 Balance Sheet'!$D:$D,"HKD",'02 Balance Sheet'!$H:$H))</x:f>
      </x:c>
      <x:c r="J129" s="12" t="str">
        <x:f>IF(A129="","",IF(COUNT(G129:I129)&lt;3,"Awaiting Month-End Snapshot",IF(OR(B129="",D129=""),"Awaiting Monthly Inputs","Ready to Close")))</x:f>
      </x:c>
      <x:c r="K129" s="22"/>
    </x:row>
    <x:row r="130" ht="19.5" customHeight="1">
      <x:c r="A130" s="25"/>
      <x:c r="B130" s="19"/>
      <x:c r="C130" s="19"/>
      <x:c r="D130" s="19"/>
      <x:c r="E130" s="19"/>
      <x:c r="F130" s="14" t="str">
        <x:f>IF(OR(A130="",B130="",D130=""),"",SUM(B130:C130)-N(D130)+N(E130))</x:f>
      </x:c>
      <x:c r="G130" s="14" t="str">
        <x:f>IF(OR(A130="",'02 Balance Sheet'!$B$2&lt;&gt;$A130),"",SUMIF('02 Balance Sheet'!$D:$D,"CNY",'02 Balance Sheet'!$H:$H))</x:f>
      </x:c>
      <x:c r="H130" s="14" t="str">
        <x:f>IF(OR(A130="",'02 Balance Sheet'!$B$2&lt;&gt;$A130),"",SUMIF('02 Balance Sheet'!$D:$D,"USD",'02 Balance Sheet'!$H:$H))</x:f>
      </x:c>
      <x:c r="I130" s="14" t="str">
        <x:f>IF(OR(A130="",'02 Balance Sheet'!$B$2&lt;&gt;$A130),"",SUMIF('02 Balance Sheet'!$D:$D,"HKD",'02 Balance Sheet'!$H:$H))</x:f>
      </x:c>
      <x:c r="J130" s="12" t="str">
        <x:f>IF(A130="","",IF(COUNT(G130:I130)&lt;3,"Awaiting Month-End Snapshot",IF(OR(B130="",D130=""),"Awaiting Monthly Inputs","Ready to Close")))</x:f>
      </x:c>
      <x:c r="K130" s="22"/>
    </x:row>
    <x:row r="131" ht="19.5" customHeight="1">
      <x:c r="A131" s="25"/>
      <x:c r="B131" s="19"/>
      <x:c r="C131" s="19"/>
      <x:c r="D131" s="19"/>
      <x:c r="E131" s="19"/>
      <x:c r="F131" s="14" t="str">
        <x:f>IF(OR(A131="",B131="",D131=""),"",SUM(B131:C131)-N(D131)+N(E131))</x:f>
      </x:c>
      <x:c r="G131" s="14" t="str">
        <x:f>IF(OR(A131="",'02 Balance Sheet'!$B$2&lt;&gt;$A131),"",SUMIF('02 Balance Sheet'!$D:$D,"CNY",'02 Balance Sheet'!$H:$H))</x:f>
      </x:c>
      <x:c r="H131" s="14" t="str">
        <x:f>IF(OR(A131="",'02 Balance Sheet'!$B$2&lt;&gt;$A131),"",SUMIF('02 Balance Sheet'!$D:$D,"USD",'02 Balance Sheet'!$H:$H))</x:f>
      </x:c>
      <x:c r="I131" s="14" t="str">
        <x:f>IF(OR(A131="",'02 Balance Sheet'!$B$2&lt;&gt;$A131),"",SUMIF('02 Balance Sheet'!$D:$D,"HKD",'02 Balance Sheet'!$H:$H))</x:f>
      </x:c>
      <x:c r="J131" s="12" t="str">
        <x:f>IF(A131="","",IF(COUNT(G131:I131)&lt;3,"Awaiting Month-End Snapshot",IF(OR(B131="",D131=""),"Awaiting Monthly Inputs","Ready to Close")))</x:f>
      </x:c>
      <x:c r="K131" s="22"/>
    </x:row>
    <x:row r="132" ht="19.5" customHeight="1">
      <x:c r="A132" s="25"/>
      <x:c r="B132" s="19"/>
      <x:c r="C132" s="19"/>
      <x:c r="D132" s="19"/>
      <x:c r="E132" s="19"/>
      <x:c r="F132" s="14" t="str">
        <x:f>IF(OR(A132="",B132="",D132=""),"",SUM(B132:C132)-N(D132)+N(E132))</x:f>
      </x:c>
      <x:c r="G132" s="14" t="str">
        <x:f>IF(OR(A132="",'02 Balance Sheet'!$B$2&lt;&gt;$A132),"",SUMIF('02 Balance Sheet'!$D:$D,"CNY",'02 Balance Sheet'!$H:$H))</x:f>
      </x:c>
      <x:c r="H132" s="14" t="str">
        <x:f>IF(OR(A132="",'02 Balance Sheet'!$B$2&lt;&gt;$A132),"",SUMIF('02 Balance Sheet'!$D:$D,"USD",'02 Balance Sheet'!$H:$H))</x:f>
      </x:c>
      <x:c r="I132" s="14" t="str">
        <x:f>IF(OR(A132="",'02 Balance Sheet'!$B$2&lt;&gt;$A132),"",SUMIF('02 Balance Sheet'!$D:$D,"HKD",'02 Balance Sheet'!$H:$H))</x:f>
      </x:c>
      <x:c r="J132" s="12" t="str">
        <x:f>IF(A132="","",IF(COUNT(G132:I132)&lt;3,"Awaiting Month-End Snapshot",IF(OR(B132="",D132=""),"Awaiting Monthly Inputs","Ready to Close")))</x:f>
      </x:c>
      <x:c r="K132" s="22"/>
    </x:row>
    <x:row r="133" ht="19.5" customHeight="1">
      <x:c r="A133" s="25"/>
      <x:c r="B133" s="19"/>
      <x:c r="C133" s="19"/>
      <x:c r="D133" s="19"/>
      <x:c r="E133" s="19"/>
      <x:c r="F133" s="14" t="str">
        <x:f>IF(OR(A133="",B133="",D133=""),"",SUM(B133:C133)-N(D133)+N(E133))</x:f>
      </x:c>
      <x:c r="G133" s="14" t="str">
        <x:f>IF(OR(A133="",'02 Balance Sheet'!$B$2&lt;&gt;$A133),"",SUMIF('02 Balance Sheet'!$D:$D,"CNY",'02 Balance Sheet'!$H:$H))</x:f>
      </x:c>
      <x:c r="H133" s="14" t="str">
        <x:f>IF(OR(A133="",'02 Balance Sheet'!$B$2&lt;&gt;$A133),"",SUMIF('02 Balance Sheet'!$D:$D,"USD",'02 Balance Sheet'!$H:$H))</x:f>
      </x:c>
      <x:c r="I133" s="14" t="str">
        <x:f>IF(OR(A133="",'02 Balance Sheet'!$B$2&lt;&gt;$A133),"",SUMIF('02 Balance Sheet'!$D:$D,"HKD",'02 Balance Sheet'!$H:$H))</x:f>
      </x:c>
      <x:c r="J133" s="12" t="str">
        <x:f>IF(A133="","",IF(COUNT(G133:I133)&lt;3,"Awaiting Month-End Snapshot",IF(OR(B133="",D133=""),"Awaiting Monthly Inputs","Ready to Close")))</x:f>
      </x:c>
      <x:c r="K133" s="22"/>
    </x:row>
    <x:row r="134" ht="19.5" customHeight="1">
      <x:c r="A134" s="25"/>
      <x:c r="B134" s="19"/>
      <x:c r="C134" s="19"/>
      <x:c r="D134" s="19"/>
      <x:c r="E134" s="19"/>
      <x:c r="F134" s="14" t="str">
        <x:f>IF(OR(A134="",B134="",D134=""),"",SUM(B134:C134)-N(D134)+N(E134))</x:f>
      </x:c>
      <x:c r="G134" s="14" t="str">
        <x:f>IF(OR(A134="",'02 Balance Sheet'!$B$2&lt;&gt;$A134),"",SUMIF('02 Balance Sheet'!$D:$D,"CNY",'02 Balance Sheet'!$H:$H))</x:f>
      </x:c>
      <x:c r="H134" s="14" t="str">
        <x:f>IF(OR(A134="",'02 Balance Sheet'!$B$2&lt;&gt;$A134),"",SUMIF('02 Balance Sheet'!$D:$D,"USD",'02 Balance Sheet'!$H:$H))</x:f>
      </x:c>
      <x:c r="I134" s="14" t="str">
        <x:f>IF(OR(A134="",'02 Balance Sheet'!$B$2&lt;&gt;$A134),"",SUMIF('02 Balance Sheet'!$D:$D,"HKD",'02 Balance Sheet'!$H:$H))</x:f>
      </x:c>
      <x:c r="J134" s="12" t="str">
        <x:f>IF(A134="","",IF(COUNT(G134:I134)&lt;3,"Awaiting Month-End Snapshot",IF(OR(B134="",D134=""),"Awaiting Monthly Inputs","Ready to Close")))</x:f>
      </x:c>
      <x:c r="K134" s="22"/>
    </x:row>
    <x:row r="135" ht="19.5" customHeight="1">
      <x:c r="A135" s="25"/>
      <x:c r="B135" s="19"/>
      <x:c r="C135" s="19"/>
      <x:c r="D135" s="19"/>
      <x:c r="E135" s="19"/>
      <x:c r="F135" s="14" t="str">
        <x:f>IF(OR(A135="",B135="",D135=""),"",SUM(B135:C135)-N(D135)+N(E135))</x:f>
      </x:c>
      <x:c r="G135" s="14" t="str">
        <x:f>IF(OR(A135="",'02 Balance Sheet'!$B$2&lt;&gt;$A135),"",SUMIF('02 Balance Sheet'!$D:$D,"CNY",'02 Balance Sheet'!$H:$H))</x:f>
      </x:c>
      <x:c r="H135" s="14" t="str">
        <x:f>IF(OR(A135="",'02 Balance Sheet'!$B$2&lt;&gt;$A135),"",SUMIF('02 Balance Sheet'!$D:$D,"USD",'02 Balance Sheet'!$H:$H))</x:f>
      </x:c>
      <x:c r="I135" s="14" t="str">
        <x:f>IF(OR(A135="",'02 Balance Sheet'!$B$2&lt;&gt;$A135),"",SUMIF('02 Balance Sheet'!$D:$D,"HKD",'02 Balance Sheet'!$H:$H))</x:f>
      </x:c>
      <x:c r="J135" s="12" t="str">
        <x:f>IF(A135="","",IF(COUNT(G135:I135)&lt;3,"Awaiting Month-End Snapshot",IF(OR(B135="",D135=""),"Awaiting Monthly Inputs","Ready to Close")))</x:f>
      </x:c>
      <x:c r="K135" s="22"/>
    </x:row>
    <x:row r="136" ht="19.5" customHeight="1">
      <x:c r="A136" s="25"/>
      <x:c r="B136" s="19"/>
      <x:c r="C136" s="19"/>
      <x:c r="D136" s="19"/>
      <x:c r="E136" s="19"/>
      <x:c r="F136" s="14" t="str">
        <x:f>IF(OR(A136="",B136="",D136=""),"",SUM(B136:C136)-N(D136)+N(E136))</x:f>
      </x:c>
      <x:c r="G136" s="14" t="str">
        <x:f>IF(OR(A136="",'02 Balance Sheet'!$B$2&lt;&gt;$A136),"",SUMIF('02 Balance Sheet'!$D:$D,"CNY",'02 Balance Sheet'!$H:$H))</x:f>
      </x:c>
      <x:c r="H136" s="14" t="str">
        <x:f>IF(OR(A136="",'02 Balance Sheet'!$B$2&lt;&gt;$A136),"",SUMIF('02 Balance Sheet'!$D:$D,"USD",'02 Balance Sheet'!$H:$H))</x:f>
      </x:c>
      <x:c r="I136" s="14" t="str">
        <x:f>IF(OR(A136="",'02 Balance Sheet'!$B$2&lt;&gt;$A136),"",SUMIF('02 Balance Sheet'!$D:$D,"HKD",'02 Balance Sheet'!$H:$H))</x:f>
      </x:c>
      <x:c r="J136" s="12" t="str">
        <x:f>IF(A136="","",IF(COUNT(G136:I136)&lt;3,"Awaiting Month-End Snapshot",IF(OR(B136="",D136=""),"Awaiting Monthly Inputs","Ready to Close")))</x:f>
      </x:c>
      <x:c r="K136" s="22"/>
    </x:row>
    <x:row r="137" ht="19.5" customHeight="1">
      <x:c r="A137" s="25"/>
      <x:c r="B137" s="19"/>
      <x:c r="C137" s="19"/>
      <x:c r="D137" s="19"/>
      <x:c r="E137" s="19"/>
      <x:c r="F137" s="14" t="str">
        <x:f>IF(OR(A137="",B137="",D137=""),"",SUM(B137:C137)-N(D137)+N(E137))</x:f>
      </x:c>
      <x:c r="G137" s="14" t="str">
        <x:f>IF(OR(A137="",'02 Balance Sheet'!$B$2&lt;&gt;$A137),"",SUMIF('02 Balance Sheet'!$D:$D,"CNY",'02 Balance Sheet'!$H:$H))</x:f>
      </x:c>
      <x:c r="H137" s="14" t="str">
        <x:f>IF(OR(A137="",'02 Balance Sheet'!$B$2&lt;&gt;$A137),"",SUMIF('02 Balance Sheet'!$D:$D,"USD",'02 Balance Sheet'!$H:$H))</x:f>
      </x:c>
      <x:c r="I137" s="14" t="str">
        <x:f>IF(OR(A137="",'02 Balance Sheet'!$B$2&lt;&gt;$A137),"",SUMIF('02 Balance Sheet'!$D:$D,"HKD",'02 Balance Sheet'!$H:$H))</x:f>
      </x:c>
      <x:c r="J137" s="12" t="str">
        <x:f>IF(A137="","",IF(COUNT(G137:I137)&lt;3,"Awaiting Month-End Snapshot",IF(OR(B137="",D137=""),"Awaiting Monthly Inputs","Ready to Close")))</x:f>
      </x:c>
      <x:c r="K137" s="22"/>
    </x:row>
    <x:row r="138" ht="19.5" customHeight="1">
      <x:c r="A138" s="25"/>
      <x:c r="B138" s="19"/>
      <x:c r="C138" s="19"/>
      <x:c r="D138" s="19"/>
      <x:c r="E138" s="19"/>
      <x:c r="F138" s="14" t="str">
        <x:f>IF(OR(A138="",B138="",D138=""),"",SUM(B138:C138)-N(D138)+N(E138))</x:f>
      </x:c>
      <x:c r="G138" s="14" t="str">
        <x:f>IF(OR(A138="",'02 Balance Sheet'!$B$2&lt;&gt;$A138),"",SUMIF('02 Balance Sheet'!$D:$D,"CNY",'02 Balance Sheet'!$H:$H))</x:f>
      </x:c>
      <x:c r="H138" s="14" t="str">
        <x:f>IF(OR(A138="",'02 Balance Sheet'!$B$2&lt;&gt;$A138),"",SUMIF('02 Balance Sheet'!$D:$D,"USD",'02 Balance Sheet'!$H:$H))</x:f>
      </x:c>
      <x:c r="I138" s="14" t="str">
        <x:f>IF(OR(A138="",'02 Balance Sheet'!$B$2&lt;&gt;$A138),"",SUMIF('02 Balance Sheet'!$D:$D,"HKD",'02 Balance Sheet'!$H:$H))</x:f>
      </x:c>
      <x:c r="J138" s="12" t="str">
        <x:f>IF(A138="","",IF(COUNT(G138:I138)&lt;3,"Awaiting Month-End Snapshot",IF(OR(B138="",D138=""),"Awaiting Monthly Inputs","Ready to Close")))</x:f>
      </x:c>
      <x:c r="K138" s="22"/>
    </x:row>
    <x:row r="139" ht="19.5" customHeight="1">
      <x:c r="A139" s="25"/>
      <x:c r="B139" s="19"/>
      <x:c r="C139" s="19"/>
      <x:c r="D139" s="19"/>
      <x:c r="E139" s="19"/>
      <x:c r="F139" s="14" t="str">
        <x:f>IF(OR(A139="",B139="",D139=""),"",SUM(B139:C139)-N(D139)+N(E139))</x:f>
      </x:c>
      <x:c r="G139" s="14" t="str">
        <x:f>IF(OR(A139="",'02 Balance Sheet'!$B$2&lt;&gt;$A139),"",SUMIF('02 Balance Sheet'!$D:$D,"CNY",'02 Balance Sheet'!$H:$H))</x:f>
      </x:c>
      <x:c r="H139" s="14" t="str">
        <x:f>IF(OR(A139="",'02 Balance Sheet'!$B$2&lt;&gt;$A139),"",SUMIF('02 Balance Sheet'!$D:$D,"USD",'02 Balance Sheet'!$H:$H))</x:f>
      </x:c>
      <x:c r="I139" s="14" t="str">
        <x:f>IF(OR(A139="",'02 Balance Sheet'!$B$2&lt;&gt;$A139),"",SUMIF('02 Balance Sheet'!$D:$D,"HKD",'02 Balance Sheet'!$H:$H))</x:f>
      </x:c>
      <x:c r="J139" s="12" t="str">
        <x:f>IF(A139="","",IF(COUNT(G139:I139)&lt;3,"Awaiting Month-End Snapshot",IF(OR(B139="",D139=""),"Awaiting Monthly Inputs","Ready to Close")))</x:f>
      </x:c>
      <x:c r="K139" s="22"/>
    </x:row>
    <x:row r="140" ht="19.5" customHeight="1">
      <x:c r="A140" s="25"/>
      <x:c r="B140" s="19"/>
      <x:c r="C140" s="19"/>
      <x:c r="D140" s="19"/>
      <x:c r="E140" s="19"/>
      <x:c r="F140" s="14" t="str">
        <x:f>IF(OR(A140="",B140="",D140=""),"",SUM(B140:C140)-N(D140)+N(E140))</x:f>
      </x:c>
      <x:c r="G140" s="14" t="str">
        <x:f>IF(OR(A140="",'02 Balance Sheet'!$B$2&lt;&gt;$A140),"",SUMIF('02 Balance Sheet'!$D:$D,"CNY",'02 Balance Sheet'!$H:$H))</x:f>
      </x:c>
      <x:c r="H140" s="14" t="str">
        <x:f>IF(OR(A140="",'02 Balance Sheet'!$B$2&lt;&gt;$A140),"",SUMIF('02 Balance Sheet'!$D:$D,"USD",'02 Balance Sheet'!$H:$H))</x:f>
      </x:c>
      <x:c r="I140" s="14" t="str">
        <x:f>IF(OR(A140="",'02 Balance Sheet'!$B$2&lt;&gt;$A140),"",SUMIF('02 Balance Sheet'!$D:$D,"HKD",'02 Balance Sheet'!$H:$H))</x:f>
      </x:c>
      <x:c r="J140" s="12" t="str">
        <x:f>IF(A140="","",IF(COUNT(G140:I140)&lt;3,"Awaiting Month-End Snapshot",IF(OR(B140="",D140=""),"Awaiting Monthly Inputs","Ready to Close")))</x:f>
      </x:c>
      <x:c r="K140" s="22"/>
    </x:row>
    <x:row r="141" ht="19.5" customHeight="1">
      <x:c r="A141" s="25"/>
      <x:c r="B141" s="19"/>
      <x:c r="C141" s="19"/>
      <x:c r="D141" s="19"/>
      <x:c r="E141" s="19"/>
      <x:c r="F141" s="14" t="str">
        <x:f>IF(OR(A141="",B141="",D141=""),"",SUM(B141:C141)-N(D141)+N(E141))</x:f>
      </x:c>
      <x:c r="G141" s="14" t="str">
        <x:f>IF(OR(A141="",'02 Balance Sheet'!$B$2&lt;&gt;$A141),"",SUMIF('02 Balance Sheet'!$D:$D,"CNY",'02 Balance Sheet'!$H:$H))</x:f>
      </x:c>
      <x:c r="H141" s="14" t="str">
        <x:f>IF(OR(A141="",'02 Balance Sheet'!$B$2&lt;&gt;$A141),"",SUMIF('02 Balance Sheet'!$D:$D,"USD",'02 Balance Sheet'!$H:$H))</x:f>
      </x:c>
      <x:c r="I141" s="14" t="str">
        <x:f>IF(OR(A141="",'02 Balance Sheet'!$B$2&lt;&gt;$A141),"",SUMIF('02 Balance Sheet'!$D:$D,"HKD",'02 Balance Sheet'!$H:$H))</x:f>
      </x:c>
      <x:c r="J141" s="12" t="str">
        <x:f>IF(A141="","",IF(COUNT(G141:I141)&lt;3,"Awaiting Month-End Snapshot",IF(OR(B141="",D141=""),"Awaiting Monthly Inputs","Ready to Close")))</x:f>
      </x:c>
      <x:c r="K141" s="22"/>
    </x:row>
    <x:row r="142" ht="19.5" customHeight="1">
      <x:c r="A142" s="25"/>
      <x:c r="B142" s="19"/>
      <x:c r="C142" s="19"/>
      <x:c r="D142" s="19"/>
      <x:c r="E142" s="19"/>
      <x:c r="F142" s="14" t="str">
        <x:f>IF(OR(A142="",B142="",D142=""),"",SUM(B142:C142)-N(D142)+N(E142))</x:f>
      </x:c>
      <x:c r="G142" s="14" t="str">
        <x:f>IF(OR(A142="",'02 Balance Sheet'!$B$2&lt;&gt;$A142),"",SUMIF('02 Balance Sheet'!$D:$D,"CNY",'02 Balance Sheet'!$H:$H))</x:f>
      </x:c>
      <x:c r="H142" s="14" t="str">
        <x:f>IF(OR(A142="",'02 Balance Sheet'!$B$2&lt;&gt;$A142),"",SUMIF('02 Balance Sheet'!$D:$D,"USD",'02 Balance Sheet'!$H:$H))</x:f>
      </x:c>
      <x:c r="I142" s="14" t="str">
        <x:f>IF(OR(A142="",'02 Balance Sheet'!$B$2&lt;&gt;$A142),"",SUMIF('02 Balance Sheet'!$D:$D,"HKD",'02 Balance Sheet'!$H:$H))</x:f>
      </x:c>
      <x:c r="J142" s="12" t="str">
        <x:f>IF(A142="","",IF(COUNT(G142:I142)&lt;3,"Awaiting Month-End Snapshot",IF(OR(B142="",D142=""),"Awaiting Monthly Inputs","Ready to Close")))</x:f>
      </x:c>
      <x:c r="K142" s="22"/>
    </x:row>
    <x:row r="143" ht="19.5" customHeight="1">
      <x:c r="A143" s="25"/>
      <x:c r="B143" s="19"/>
      <x:c r="C143" s="19"/>
      <x:c r="D143" s="19"/>
      <x:c r="E143" s="19"/>
      <x:c r="F143" s="14" t="str">
        <x:f>IF(OR(A143="",B143="",D143=""),"",SUM(B143:C143)-N(D143)+N(E143))</x:f>
      </x:c>
      <x:c r="G143" s="14" t="str">
        <x:f>IF(OR(A143="",'02 Balance Sheet'!$B$2&lt;&gt;$A143),"",SUMIF('02 Balance Sheet'!$D:$D,"CNY",'02 Balance Sheet'!$H:$H))</x:f>
      </x:c>
      <x:c r="H143" s="14" t="str">
        <x:f>IF(OR(A143="",'02 Balance Sheet'!$B$2&lt;&gt;$A143),"",SUMIF('02 Balance Sheet'!$D:$D,"USD",'02 Balance Sheet'!$H:$H))</x:f>
      </x:c>
      <x:c r="I143" s="14" t="str">
        <x:f>IF(OR(A143="",'02 Balance Sheet'!$B$2&lt;&gt;$A143),"",SUMIF('02 Balance Sheet'!$D:$D,"HKD",'02 Balance Sheet'!$H:$H))</x:f>
      </x:c>
      <x:c r="J143" s="12" t="str">
        <x:f>IF(A143="","",IF(COUNT(G143:I143)&lt;3,"Awaiting Month-End Snapshot",IF(OR(B143="",D143=""),"Awaiting Monthly Inputs","Ready to Close")))</x:f>
      </x:c>
      <x:c r="K143" s="22"/>
    </x:row>
    <x:row r="144" ht="19.5" customHeight="1">
      <x:c r="A144" s="25"/>
      <x:c r="B144" s="19"/>
      <x:c r="C144" s="19"/>
      <x:c r="D144" s="19"/>
      <x:c r="E144" s="19"/>
      <x:c r="F144" s="14" t="str">
        <x:f>IF(OR(A144="",B144="",D144=""),"",SUM(B144:C144)-N(D144)+N(E144))</x:f>
      </x:c>
      <x:c r="G144" s="14" t="str">
        <x:f>IF(OR(A144="",'02 Balance Sheet'!$B$2&lt;&gt;$A144),"",SUMIF('02 Balance Sheet'!$D:$D,"CNY",'02 Balance Sheet'!$H:$H))</x:f>
      </x:c>
      <x:c r="H144" s="14" t="str">
        <x:f>IF(OR(A144="",'02 Balance Sheet'!$B$2&lt;&gt;$A144),"",SUMIF('02 Balance Sheet'!$D:$D,"USD",'02 Balance Sheet'!$H:$H))</x:f>
      </x:c>
      <x:c r="I144" s="14" t="str">
        <x:f>IF(OR(A144="",'02 Balance Sheet'!$B$2&lt;&gt;$A144),"",SUMIF('02 Balance Sheet'!$D:$D,"HKD",'02 Balance Sheet'!$H:$H))</x:f>
      </x:c>
      <x:c r="J144" s="12" t="str">
        <x:f>IF(A144="","",IF(COUNT(G144:I144)&lt;3,"Awaiting Month-End Snapshot",IF(OR(B144="",D144=""),"Awaiting Monthly Inputs","Ready to Close")))</x:f>
      </x:c>
      <x:c r="K144" s="22"/>
    </x:row>
    <x:row r="145" ht="19.5" customHeight="1">
      <x:c r="A145" s="25"/>
      <x:c r="B145" s="19"/>
      <x:c r="C145" s="19"/>
      <x:c r="D145" s="19"/>
      <x:c r="E145" s="19"/>
      <x:c r="F145" s="14" t="str">
        <x:f>IF(OR(A145="",B145="",D145=""),"",SUM(B145:C145)-N(D145)+N(E145))</x:f>
      </x:c>
      <x:c r="G145" s="14" t="str">
        <x:f>IF(OR(A145="",'02 Balance Sheet'!$B$2&lt;&gt;$A145),"",SUMIF('02 Balance Sheet'!$D:$D,"CNY",'02 Balance Sheet'!$H:$H))</x:f>
      </x:c>
      <x:c r="H145" s="14" t="str">
        <x:f>IF(OR(A145="",'02 Balance Sheet'!$B$2&lt;&gt;$A145),"",SUMIF('02 Balance Sheet'!$D:$D,"USD",'02 Balance Sheet'!$H:$H))</x:f>
      </x:c>
      <x:c r="I145" s="14" t="str">
        <x:f>IF(OR(A145="",'02 Balance Sheet'!$B$2&lt;&gt;$A145),"",SUMIF('02 Balance Sheet'!$D:$D,"HKD",'02 Balance Sheet'!$H:$H))</x:f>
      </x:c>
      <x:c r="J145" s="12" t="str">
        <x:f>IF(A145="","",IF(COUNT(G145:I145)&lt;3,"Awaiting Month-End Snapshot",IF(OR(B145="",D145=""),"Awaiting Monthly Inputs","Ready to Close")))</x:f>
      </x:c>
      <x:c r="K145" s="22"/>
    </x:row>
    <x:row r="146" ht="19.5" customHeight="1">
      <x:c r="A146" s="25"/>
      <x:c r="B146" s="19"/>
      <x:c r="C146" s="19"/>
      <x:c r="D146" s="19"/>
      <x:c r="E146" s="19"/>
      <x:c r="F146" s="14" t="str">
        <x:f>IF(OR(A146="",B146="",D146=""),"",SUM(B146:C146)-N(D146)+N(E146))</x:f>
      </x:c>
      <x:c r="G146" s="14" t="str">
        <x:f>IF(OR(A146="",'02 Balance Sheet'!$B$2&lt;&gt;$A146),"",SUMIF('02 Balance Sheet'!$D:$D,"CNY",'02 Balance Sheet'!$H:$H))</x:f>
      </x:c>
      <x:c r="H146" s="14" t="str">
        <x:f>IF(OR(A146="",'02 Balance Sheet'!$B$2&lt;&gt;$A146),"",SUMIF('02 Balance Sheet'!$D:$D,"USD",'02 Balance Sheet'!$H:$H))</x:f>
      </x:c>
      <x:c r="I146" s="14" t="str">
        <x:f>IF(OR(A146="",'02 Balance Sheet'!$B$2&lt;&gt;$A146),"",SUMIF('02 Balance Sheet'!$D:$D,"HKD",'02 Balance Sheet'!$H:$H))</x:f>
      </x:c>
      <x:c r="J146" s="12" t="str">
        <x:f>IF(A146="","",IF(COUNT(G146:I146)&lt;3,"Awaiting Month-End Snapshot",IF(OR(B146="",D146=""),"Awaiting Monthly Inputs","Ready to Close")))</x:f>
      </x:c>
      <x:c r="K146" s="22"/>
    </x:row>
    <x:row r="147" ht="19.5" customHeight="1">
      <x:c r="A147" s="25"/>
      <x:c r="B147" s="19"/>
      <x:c r="C147" s="19"/>
      <x:c r="D147" s="19"/>
      <x:c r="E147" s="19"/>
      <x:c r="F147" s="14" t="str">
        <x:f>IF(OR(A147="",B147="",D147=""),"",SUM(B147:C147)-N(D147)+N(E147))</x:f>
      </x:c>
      <x:c r="G147" s="14" t="str">
        <x:f>IF(OR(A147="",'02 Balance Sheet'!$B$2&lt;&gt;$A147),"",SUMIF('02 Balance Sheet'!$D:$D,"CNY",'02 Balance Sheet'!$H:$H))</x:f>
      </x:c>
      <x:c r="H147" s="14" t="str">
        <x:f>IF(OR(A147="",'02 Balance Sheet'!$B$2&lt;&gt;$A147),"",SUMIF('02 Balance Sheet'!$D:$D,"USD",'02 Balance Sheet'!$H:$H))</x:f>
      </x:c>
      <x:c r="I147" s="14" t="str">
        <x:f>IF(OR(A147="",'02 Balance Sheet'!$B$2&lt;&gt;$A147),"",SUMIF('02 Balance Sheet'!$D:$D,"HKD",'02 Balance Sheet'!$H:$H))</x:f>
      </x:c>
      <x:c r="J147" s="12" t="str">
        <x:f>IF(A147="","",IF(COUNT(G147:I147)&lt;3,"Awaiting Month-End Snapshot",IF(OR(B147="",D147=""),"Awaiting Monthly Inputs","Ready to Close")))</x:f>
      </x:c>
      <x:c r="K147" s="22"/>
    </x:row>
    <x:row r="148" ht="19.5" customHeight="1">
      <x:c r="A148" s="25"/>
      <x:c r="B148" s="19"/>
      <x:c r="C148" s="19"/>
      <x:c r="D148" s="19"/>
      <x:c r="E148" s="19"/>
      <x:c r="F148" s="14" t="str">
        <x:f>IF(OR(A148="",B148="",D148=""),"",SUM(B148:C148)-N(D148)+N(E148))</x:f>
      </x:c>
      <x:c r="G148" s="14" t="str">
        <x:f>IF(OR(A148="",'02 Balance Sheet'!$B$2&lt;&gt;$A148),"",SUMIF('02 Balance Sheet'!$D:$D,"CNY",'02 Balance Sheet'!$H:$H))</x:f>
      </x:c>
      <x:c r="H148" s="14" t="str">
        <x:f>IF(OR(A148="",'02 Balance Sheet'!$B$2&lt;&gt;$A148),"",SUMIF('02 Balance Sheet'!$D:$D,"USD",'02 Balance Sheet'!$H:$H))</x:f>
      </x:c>
      <x:c r="I148" s="14" t="str">
        <x:f>IF(OR(A148="",'02 Balance Sheet'!$B$2&lt;&gt;$A148),"",SUMIF('02 Balance Sheet'!$D:$D,"HKD",'02 Balance Sheet'!$H:$H))</x:f>
      </x:c>
      <x:c r="J148" s="12" t="str">
        <x:f>IF(A148="","",IF(COUNT(G148:I148)&lt;3,"Awaiting Month-End Snapshot",IF(OR(B148="",D148=""),"Awaiting Monthly Inputs","Ready to Close")))</x:f>
      </x:c>
      <x:c r="K148" s="22"/>
    </x:row>
    <x:row r="149" ht="19.5" customHeight="1">
      <x:c r="A149" s="25"/>
      <x:c r="B149" s="19"/>
      <x:c r="C149" s="19"/>
      <x:c r="D149" s="19"/>
      <x:c r="E149" s="19"/>
      <x:c r="F149" s="14" t="str">
        <x:f>IF(OR(A149="",B149="",D149=""),"",SUM(B149:C149)-N(D149)+N(E149))</x:f>
      </x:c>
      <x:c r="G149" s="14" t="str">
        <x:f>IF(OR(A149="",'02 Balance Sheet'!$B$2&lt;&gt;$A149),"",SUMIF('02 Balance Sheet'!$D:$D,"CNY",'02 Balance Sheet'!$H:$H))</x:f>
      </x:c>
      <x:c r="H149" s="14" t="str">
        <x:f>IF(OR(A149="",'02 Balance Sheet'!$B$2&lt;&gt;$A149),"",SUMIF('02 Balance Sheet'!$D:$D,"USD",'02 Balance Sheet'!$H:$H))</x:f>
      </x:c>
      <x:c r="I149" s="14" t="str">
        <x:f>IF(OR(A149="",'02 Balance Sheet'!$B$2&lt;&gt;$A149),"",SUMIF('02 Balance Sheet'!$D:$D,"HKD",'02 Balance Sheet'!$H:$H))</x:f>
      </x:c>
      <x:c r="J149" s="12" t="str">
        <x:f>IF(A149="","",IF(COUNT(G149:I149)&lt;3,"Awaiting Month-End Snapshot",IF(OR(B149="",D149=""),"Awaiting Monthly Inputs","Ready to Close")))</x:f>
      </x:c>
      <x:c r="K149" s="22"/>
    </x:row>
    <x:row r="150" ht="19.5" customHeight="1">
      <x:c r="A150" s="25"/>
      <x:c r="B150" s="19"/>
      <x:c r="C150" s="19"/>
      <x:c r="D150" s="19"/>
      <x:c r="E150" s="19"/>
      <x:c r="F150" s="14" t="str">
        <x:f>IF(OR(A150="",B150="",D150=""),"",SUM(B150:C150)-N(D150)+N(E150))</x:f>
      </x:c>
      <x:c r="G150" s="14" t="str">
        <x:f>IF(OR(A150="",'02 Balance Sheet'!$B$2&lt;&gt;$A150),"",SUMIF('02 Balance Sheet'!$D:$D,"CNY",'02 Balance Sheet'!$H:$H))</x:f>
      </x:c>
      <x:c r="H150" s="14" t="str">
        <x:f>IF(OR(A150="",'02 Balance Sheet'!$B$2&lt;&gt;$A150),"",SUMIF('02 Balance Sheet'!$D:$D,"USD",'02 Balance Sheet'!$H:$H))</x:f>
      </x:c>
      <x:c r="I150" s="14" t="str">
        <x:f>IF(OR(A150="",'02 Balance Sheet'!$B$2&lt;&gt;$A150),"",SUMIF('02 Balance Sheet'!$D:$D,"HKD",'02 Balance Sheet'!$H:$H))</x:f>
      </x:c>
      <x:c r="J150" s="12" t="str">
        <x:f>IF(A150="","",IF(COUNT(G150:I150)&lt;3,"Awaiting Month-End Snapshot",IF(OR(B150="",D150=""),"Awaiting Monthly Inputs","Ready to Close")))</x:f>
      </x:c>
      <x:c r="K150" s="22"/>
    </x:row>
    <x:row r="151" ht="19.5" customHeight="1">
      <x:c r="A151" s="25"/>
      <x:c r="B151" s="19"/>
      <x:c r="C151" s="19"/>
      <x:c r="D151" s="19"/>
      <x:c r="E151" s="19"/>
      <x:c r="F151" s="14" t="str">
        <x:f>IF(OR(A151="",B151="",D151=""),"",SUM(B151:C151)-N(D151)+N(E151))</x:f>
      </x:c>
      <x:c r="G151" s="14" t="str">
        <x:f>IF(OR(A151="",'02 Balance Sheet'!$B$2&lt;&gt;$A151),"",SUMIF('02 Balance Sheet'!$D:$D,"CNY",'02 Balance Sheet'!$H:$H))</x:f>
      </x:c>
      <x:c r="H151" s="14" t="str">
        <x:f>IF(OR(A151="",'02 Balance Sheet'!$B$2&lt;&gt;$A151),"",SUMIF('02 Balance Sheet'!$D:$D,"USD",'02 Balance Sheet'!$H:$H))</x:f>
      </x:c>
      <x:c r="I151" s="14" t="str">
        <x:f>IF(OR(A151="",'02 Balance Sheet'!$B$2&lt;&gt;$A151),"",SUMIF('02 Balance Sheet'!$D:$D,"HKD",'02 Balance Sheet'!$H:$H))</x:f>
      </x:c>
      <x:c r="J151" s="12" t="str">
        <x:f>IF(A151="","",IF(COUNT(G151:I151)&lt;3,"Awaiting Month-End Snapshot",IF(OR(B151="",D151=""),"Awaiting Monthly Inputs","Ready to Close")))</x:f>
      </x:c>
      <x:c r="K151" s="22"/>
    </x:row>
    <x:row r="152" ht="19.5" customHeight="1">
      <x:c r="A152" s="25"/>
      <x:c r="B152" s="19"/>
      <x:c r="C152" s="19"/>
      <x:c r="D152" s="19"/>
      <x:c r="E152" s="19"/>
      <x:c r="F152" s="14" t="str">
        <x:f>IF(OR(A152="",B152="",D152=""),"",SUM(B152:C152)-N(D152)+N(E152))</x:f>
      </x:c>
      <x:c r="G152" s="14" t="str">
        <x:f>IF(OR(A152="",'02 Balance Sheet'!$B$2&lt;&gt;$A152),"",SUMIF('02 Balance Sheet'!$D:$D,"CNY",'02 Balance Sheet'!$H:$H))</x:f>
      </x:c>
      <x:c r="H152" s="14" t="str">
        <x:f>IF(OR(A152="",'02 Balance Sheet'!$B$2&lt;&gt;$A152),"",SUMIF('02 Balance Sheet'!$D:$D,"USD",'02 Balance Sheet'!$H:$H))</x:f>
      </x:c>
      <x:c r="I152" s="14" t="str">
        <x:f>IF(OR(A152="",'02 Balance Sheet'!$B$2&lt;&gt;$A152),"",SUMIF('02 Balance Sheet'!$D:$D,"HKD",'02 Balance Sheet'!$H:$H))</x:f>
      </x:c>
      <x:c r="J152" s="12" t="str">
        <x:f>IF(A152="","",IF(COUNT(G152:I152)&lt;3,"Awaiting Month-End Snapshot",IF(OR(B152="",D152=""),"Awaiting Monthly Inputs","Ready to Close")))</x:f>
      </x:c>
      <x:c r="K152" s="22"/>
    </x:row>
    <x:row r="153" ht="19.5" customHeight="1">
      <x:c r="A153" s="25"/>
      <x:c r="B153" s="19"/>
      <x:c r="C153" s="19"/>
      <x:c r="D153" s="19"/>
      <x:c r="E153" s="19"/>
      <x:c r="F153" s="14" t="str">
        <x:f>IF(OR(A153="",B153="",D153=""),"",SUM(B153:C153)-N(D153)+N(E153))</x:f>
      </x:c>
      <x:c r="G153" s="14" t="str">
        <x:f>IF(OR(A153="",'02 Balance Sheet'!$B$2&lt;&gt;$A153),"",SUMIF('02 Balance Sheet'!$D:$D,"CNY",'02 Balance Sheet'!$H:$H))</x:f>
      </x:c>
      <x:c r="H153" s="14" t="str">
        <x:f>IF(OR(A153="",'02 Balance Sheet'!$B$2&lt;&gt;$A153),"",SUMIF('02 Balance Sheet'!$D:$D,"USD",'02 Balance Sheet'!$H:$H))</x:f>
      </x:c>
      <x:c r="I153" s="14" t="str">
        <x:f>IF(OR(A153="",'02 Balance Sheet'!$B$2&lt;&gt;$A153),"",SUMIF('02 Balance Sheet'!$D:$D,"HKD",'02 Balance Sheet'!$H:$H))</x:f>
      </x:c>
      <x:c r="J153" s="12" t="str">
        <x:f>IF(A153="","",IF(COUNT(G153:I153)&lt;3,"Awaiting Month-End Snapshot",IF(OR(B153="",D153=""),"Awaiting Monthly Inputs","Ready to Close")))</x:f>
      </x:c>
      <x:c r="K153" s="22"/>
    </x:row>
    <x:row r="154" ht="19.5" customHeight="1">
      <x:c r="A154" s="25"/>
      <x:c r="B154" s="19"/>
      <x:c r="C154" s="19"/>
      <x:c r="D154" s="19"/>
      <x:c r="E154" s="19"/>
      <x:c r="F154" s="14" t="str">
        <x:f>IF(OR(A154="",B154="",D154=""),"",SUM(B154:C154)-N(D154)+N(E154))</x:f>
      </x:c>
      <x:c r="G154" s="14" t="str">
        <x:f>IF(OR(A154="",'02 Balance Sheet'!$B$2&lt;&gt;$A154),"",SUMIF('02 Balance Sheet'!$D:$D,"CNY",'02 Balance Sheet'!$H:$H))</x:f>
      </x:c>
      <x:c r="H154" s="14" t="str">
        <x:f>IF(OR(A154="",'02 Balance Sheet'!$B$2&lt;&gt;$A154),"",SUMIF('02 Balance Sheet'!$D:$D,"USD",'02 Balance Sheet'!$H:$H))</x:f>
      </x:c>
      <x:c r="I154" s="14" t="str">
        <x:f>IF(OR(A154="",'02 Balance Sheet'!$B$2&lt;&gt;$A154),"",SUMIF('02 Balance Sheet'!$D:$D,"HKD",'02 Balance Sheet'!$H:$H))</x:f>
      </x:c>
      <x:c r="J154" s="12" t="str">
        <x:f>IF(A154="","",IF(COUNT(G154:I154)&lt;3,"Awaiting Month-End Snapshot",IF(OR(B154="",D154=""),"Awaiting Monthly Inputs","Ready to Close")))</x:f>
      </x:c>
      <x:c r="K154" s="22"/>
    </x:row>
    <x:row r="155" ht="19.5" customHeight="1">
      <x:c r="A155" s="25"/>
      <x:c r="B155" s="19"/>
      <x:c r="C155" s="19"/>
      <x:c r="D155" s="19"/>
      <x:c r="E155" s="19"/>
      <x:c r="F155" s="14" t="str">
        <x:f>IF(OR(A155="",B155="",D155=""),"",SUM(B155:C155)-N(D155)+N(E155))</x:f>
      </x:c>
      <x:c r="G155" s="14" t="str">
        <x:f>IF(OR(A155="",'02 Balance Sheet'!$B$2&lt;&gt;$A155),"",SUMIF('02 Balance Sheet'!$D:$D,"CNY",'02 Balance Sheet'!$H:$H))</x:f>
      </x:c>
      <x:c r="H155" s="14" t="str">
        <x:f>IF(OR(A155="",'02 Balance Sheet'!$B$2&lt;&gt;$A155),"",SUMIF('02 Balance Sheet'!$D:$D,"USD",'02 Balance Sheet'!$H:$H))</x:f>
      </x:c>
      <x:c r="I155" s="14" t="str">
        <x:f>IF(OR(A155="",'02 Balance Sheet'!$B$2&lt;&gt;$A155),"",SUMIF('02 Balance Sheet'!$D:$D,"HKD",'02 Balance Sheet'!$H:$H))</x:f>
      </x:c>
      <x:c r="J155" s="12" t="str">
        <x:f>IF(A155="","",IF(COUNT(G155:I155)&lt;3,"Awaiting Month-End Snapshot",IF(OR(B155="",D155=""),"Awaiting Monthly Inputs","Ready to Close")))</x:f>
      </x:c>
      <x:c r="K155" s="22"/>
    </x:row>
    <x:row r="156" ht="19.5" customHeight="1">
      <x:c r="A156" s="25"/>
      <x:c r="B156" s="19"/>
      <x:c r="C156" s="19"/>
      <x:c r="D156" s="19"/>
      <x:c r="E156" s="19"/>
      <x:c r="F156" s="14" t="str">
        <x:f>IF(OR(A156="",B156="",D156=""),"",SUM(B156:C156)-N(D156)+N(E156))</x:f>
      </x:c>
      <x:c r="G156" s="14" t="str">
        <x:f>IF(OR(A156="",'02 Balance Sheet'!$B$2&lt;&gt;$A156),"",SUMIF('02 Balance Sheet'!$D:$D,"CNY",'02 Balance Sheet'!$H:$H))</x:f>
      </x:c>
      <x:c r="H156" s="14" t="str">
        <x:f>IF(OR(A156="",'02 Balance Sheet'!$B$2&lt;&gt;$A156),"",SUMIF('02 Balance Sheet'!$D:$D,"USD",'02 Balance Sheet'!$H:$H))</x:f>
      </x:c>
      <x:c r="I156" s="14" t="str">
        <x:f>IF(OR(A156="",'02 Balance Sheet'!$B$2&lt;&gt;$A156),"",SUMIF('02 Balance Sheet'!$D:$D,"HKD",'02 Balance Sheet'!$H:$H))</x:f>
      </x:c>
      <x:c r="J156" s="12" t="str">
        <x:f>IF(A156="","",IF(COUNT(G156:I156)&lt;3,"Awaiting Month-End Snapshot",IF(OR(B156="",D156=""),"Awaiting Monthly Inputs","Ready to Close")))</x:f>
      </x:c>
      <x:c r="K156" s="22"/>
    </x:row>
    <x:row r="157" ht="19.5" customHeight="1">
      <x:c r="A157" s="25"/>
      <x:c r="B157" s="19"/>
      <x:c r="C157" s="19"/>
      <x:c r="D157" s="19"/>
      <x:c r="E157" s="19"/>
      <x:c r="F157" s="14" t="str">
        <x:f>IF(OR(A157="",B157="",D157=""),"",SUM(B157:C157)-N(D157)+N(E157))</x:f>
      </x:c>
      <x:c r="G157" s="14" t="str">
        <x:f>IF(OR(A157="",'02 Balance Sheet'!$B$2&lt;&gt;$A157),"",SUMIF('02 Balance Sheet'!$D:$D,"CNY",'02 Balance Sheet'!$H:$H))</x:f>
      </x:c>
      <x:c r="H157" s="14" t="str">
        <x:f>IF(OR(A157="",'02 Balance Sheet'!$B$2&lt;&gt;$A157),"",SUMIF('02 Balance Sheet'!$D:$D,"USD",'02 Balance Sheet'!$H:$H))</x:f>
      </x:c>
      <x:c r="I157" s="14" t="str">
        <x:f>IF(OR(A157="",'02 Balance Sheet'!$B$2&lt;&gt;$A157),"",SUMIF('02 Balance Sheet'!$D:$D,"HKD",'02 Balance Sheet'!$H:$H))</x:f>
      </x:c>
      <x:c r="J157" s="12" t="str">
        <x:f>IF(A157="","",IF(COUNT(G157:I157)&lt;3,"Awaiting Month-End Snapshot",IF(OR(B157="",D157=""),"Awaiting Monthly Inputs","Ready to Close")))</x:f>
      </x:c>
      <x:c r="K157" s="22"/>
    </x:row>
    <x:row r="158" ht="19.5" customHeight="1">
      <x:c r="A158" s="25"/>
      <x:c r="B158" s="19"/>
      <x:c r="C158" s="19"/>
      <x:c r="D158" s="19"/>
      <x:c r="E158" s="19"/>
      <x:c r="F158" s="14" t="str">
        <x:f>IF(OR(A158="",B158="",D158=""),"",SUM(B158:C158)-N(D158)+N(E158))</x:f>
      </x:c>
      <x:c r="G158" s="14" t="str">
        <x:f>IF(OR(A158="",'02 Balance Sheet'!$B$2&lt;&gt;$A158),"",SUMIF('02 Balance Sheet'!$D:$D,"CNY",'02 Balance Sheet'!$H:$H))</x:f>
      </x:c>
      <x:c r="H158" s="14" t="str">
        <x:f>IF(OR(A158="",'02 Balance Sheet'!$B$2&lt;&gt;$A158),"",SUMIF('02 Balance Sheet'!$D:$D,"USD",'02 Balance Sheet'!$H:$H))</x:f>
      </x:c>
      <x:c r="I158" s="14" t="str">
        <x:f>IF(OR(A158="",'02 Balance Sheet'!$B$2&lt;&gt;$A158),"",SUMIF('02 Balance Sheet'!$D:$D,"HKD",'02 Balance Sheet'!$H:$H))</x:f>
      </x:c>
      <x:c r="J158" s="12" t="str">
        <x:f>IF(A158="","",IF(COUNT(G158:I158)&lt;3,"Awaiting Month-End Snapshot",IF(OR(B158="",D158=""),"Awaiting Monthly Inputs","Ready to Close")))</x:f>
      </x:c>
      <x:c r="K158" s="22"/>
    </x:row>
    <x:row r="159" ht="19.5" customHeight="1">
      <x:c r="A159" s="25"/>
      <x:c r="B159" s="19"/>
      <x:c r="C159" s="19"/>
      <x:c r="D159" s="19"/>
      <x:c r="E159" s="19"/>
      <x:c r="F159" s="14" t="str">
        <x:f>IF(OR(A159="",B159="",D159=""),"",SUM(B159:C159)-N(D159)+N(E159))</x:f>
      </x:c>
      <x:c r="G159" s="14" t="str">
        <x:f>IF(OR(A159="",'02 Balance Sheet'!$B$2&lt;&gt;$A159),"",SUMIF('02 Balance Sheet'!$D:$D,"CNY",'02 Balance Sheet'!$H:$H))</x:f>
      </x:c>
      <x:c r="H159" s="14" t="str">
        <x:f>IF(OR(A159="",'02 Balance Sheet'!$B$2&lt;&gt;$A159),"",SUMIF('02 Balance Sheet'!$D:$D,"USD",'02 Balance Sheet'!$H:$H))</x:f>
      </x:c>
      <x:c r="I159" s="14" t="str">
        <x:f>IF(OR(A159="",'02 Balance Sheet'!$B$2&lt;&gt;$A159),"",SUMIF('02 Balance Sheet'!$D:$D,"HKD",'02 Balance Sheet'!$H:$H))</x:f>
      </x:c>
      <x:c r="J159" s="12" t="str">
        <x:f>IF(A159="","",IF(COUNT(G159:I159)&lt;3,"Awaiting Month-End Snapshot",IF(OR(B159="",D159=""),"Awaiting Monthly Inputs","Ready to Close")))</x:f>
      </x:c>
      <x:c r="K159" s="22"/>
    </x:row>
    <x:row r="160" ht="19.5" customHeight="1">
      <x:c r="A160" s="25"/>
      <x:c r="B160" s="19"/>
      <x:c r="C160" s="19"/>
      <x:c r="D160" s="19"/>
      <x:c r="E160" s="19"/>
      <x:c r="F160" s="14" t="str">
        <x:f>IF(OR(A160="",B160="",D160=""),"",SUM(B160:C160)-N(D160)+N(E160))</x:f>
      </x:c>
      <x:c r="G160" s="14" t="str">
        <x:f>IF(OR(A160="",'02 Balance Sheet'!$B$2&lt;&gt;$A160),"",SUMIF('02 Balance Sheet'!$D:$D,"CNY",'02 Balance Sheet'!$H:$H))</x:f>
      </x:c>
      <x:c r="H160" s="14" t="str">
        <x:f>IF(OR(A160="",'02 Balance Sheet'!$B$2&lt;&gt;$A160),"",SUMIF('02 Balance Sheet'!$D:$D,"USD",'02 Balance Sheet'!$H:$H))</x:f>
      </x:c>
      <x:c r="I160" s="14" t="str">
        <x:f>IF(OR(A160="",'02 Balance Sheet'!$B$2&lt;&gt;$A160),"",SUMIF('02 Balance Sheet'!$D:$D,"HKD",'02 Balance Sheet'!$H:$H))</x:f>
      </x:c>
      <x:c r="J160" s="12" t="str">
        <x:f>IF(A160="","",IF(COUNT(G160:I160)&lt;3,"Awaiting Month-End Snapshot",IF(OR(B160="",D160=""),"Awaiting Monthly Inputs","Ready to Close")))</x:f>
      </x:c>
      <x:c r="K160" s="22"/>
    </x:row>
    <x:row r="161" ht="19.5" customHeight="1">
      <x:c r="A161" s="25"/>
      <x:c r="B161" s="19"/>
      <x:c r="C161" s="19"/>
      <x:c r="D161" s="19"/>
      <x:c r="E161" s="19"/>
      <x:c r="F161" s="14" t="str">
        <x:f>IF(OR(A161="",B161="",D161=""),"",SUM(B161:C161)-N(D161)+N(E161))</x:f>
      </x:c>
      <x:c r="G161" s="14" t="str">
        <x:f>IF(OR(A161="",'02 Balance Sheet'!$B$2&lt;&gt;$A161),"",SUMIF('02 Balance Sheet'!$D:$D,"CNY",'02 Balance Sheet'!$H:$H))</x:f>
      </x:c>
      <x:c r="H161" s="14" t="str">
        <x:f>IF(OR(A161="",'02 Balance Sheet'!$B$2&lt;&gt;$A161),"",SUMIF('02 Balance Sheet'!$D:$D,"USD",'02 Balance Sheet'!$H:$H))</x:f>
      </x:c>
      <x:c r="I161" s="14" t="str">
        <x:f>IF(OR(A161="",'02 Balance Sheet'!$B$2&lt;&gt;$A161),"",SUMIF('02 Balance Sheet'!$D:$D,"HKD",'02 Balance Sheet'!$H:$H))</x:f>
      </x:c>
      <x:c r="J161" s="12" t="str">
        <x:f>IF(A161="","",IF(COUNT(G161:I161)&lt;3,"Awaiting Month-End Snapshot",IF(OR(B161="",D161=""),"Awaiting Monthly Inputs","Ready to Close")))</x:f>
      </x:c>
      <x:c r="K161" s="22"/>
    </x:row>
    <x:row r="162" ht="19.5" customHeight="1">
      <x:c r="A162" s="25"/>
      <x:c r="B162" s="19"/>
      <x:c r="C162" s="19"/>
      <x:c r="D162" s="19"/>
      <x:c r="E162" s="19"/>
      <x:c r="F162" s="14" t="str">
        <x:f>IF(OR(A162="",B162="",D162=""),"",SUM(B162:C162)-N(D162)+N(E162))</x:f>
      </x:c>
      <x:c r="G162" s="14" t="str">
        <x:f>IF(OR(A162="",'02 Balance Sheet'!$B$2&lt;&gt;$A162),"",SUMIF('02 Balance Sheet'!$D:$D,"CNY",'02 Balance Sheet'!$H:$H))</x:f>
      </x:c>
      <x:c r="H162" s="14" t="str">
        <x:f>IF(OR(A162="",'02 Balance Sheet'!$B$2&lt;&gt;$A162),"",SUMIF('02 Balance Sheet'!$D:$D,"USD",'02 Balance Sheet'!$H:$H))</x:f>
      </x:c>
      <x:c r="I162" s="14" t="str">
        <x:f>IF(OR(A162="",'02 Balance Sheet'!$B$2&lt;&gt;$A162),"",SUMIF('02 Balance Sheet'!$D:$D,"HKD",'02 Balance Sheet'!$H:$H))</x:f>
      </x:c>
      <x:c r="J162" s="12" t="str">
        <x:f>IF(A162="","",IF(COUNT(G162:I162)&lt;3,"Awaiting Month-End Snapshot",IF(OR(B162="",D162=""),"Awaiting Monthly Inputs","Ready to Close")))</x:f>
      </x:c>
      <x:c r="K162" s="22"/>
    </x:row>
    <x:row r="163" ht="19.5" customHeight="1">
      <x:c r="A163" s="25"/>
      <x:c r="B163" s="19"/>
      <x:c r="C163" s="19"/>
      <x:c r="D163" s="19"/>
      <x:c r="E163" s="19"/>
      <x:c r="F163" s="14" t="str">
        <x:f>IF(OR(A163="",B163="",D163=""),"",SUM(B163:C163)-N(D163)+N(E163))</x:f>
      </x:c>
      <x:c r="G163" s="14" t="str">
        <x:f>IF(OR(A163="",'02 Balance Sheet'!$B$2&lt;&gt;$A163),"",SUMIF('02 Balance Sheet'!$D:$D,"CNY",'02 Balance Sheet'!$H:$H))</x:f>
      </x:c>
      <x:c r="H163" s="14" t="str">
        <x:f>IF(OR(A163="",'02 Balance Sheet'!$B$2&lt;&gt;$A163),"",SUMIF('02 Balance Sheet'!$D:$D,"USD",'02 Balance Sheet'!$H:$H))</x:f>
      </x:c>
      <x:c r="I163" s="14" t="str">
        <x:f>IF(OR(A163="",'02 Balance Sheet'!$B$2&lt;&gt;$A163),"",SUMIF('02 Balance Sheet'!$D:$D,"HKD",'02 Balance Sheet'!$H:$H))</x:f>
      </x:c>
      <x:c r="J163" s="12" t="str">
        <x:f>IF(A163="","",IF(COUNT(G163:I163)&lt;3,"Awaiting Month-End Snapshot",IF(OR(B163="",D163=""),"Awaiting Monthly Inputs","Ready to Close")))</x:f>
      </x:c>
      <x:c r="K163" s="22"/>
    </x:row>
    <x:row r="164" ht="19.5" customHeight="1">
      <x:c r="A164" s="25"/>
      <x:c r="B164" s="19"/>
      <x:c r="C164" s="19"/>
      <x:c r="D164" s="19"/>
      <x:c r="E164" s="19"/>
      <x:c r="F164" s="14" t="str">
        <x:f>IF(OR(A164="",B164="",D164=""),"",SUM(B164:C164)-N(D164)+N(E164))</x:f>
      </x:c>
      <x:c r="G164" s="14" t="str">
        <x:f>IF(OR(A164="",'02 Balance Sheet'!$B$2&lt;&gt;$A164),"",SUMIF('02 Balance Sheet'!$D:$D,"CNY",'02 Balance Sheet'!$H:$H))</x:f>
      </x:c>
      <x:c r="H164" s="14" t="str">
        <x:f>IF(OR(A164="",'02 Balance Sheet'!$B$2&lt;&gt;$A164),"",SUMIF('02 Balance Sheet'!$D:$D,"USD",'02 Balance Sheet'!$H:$H))</x:f>
      </x:c>
      <x:c r="I164" s="14" t="str">
        <x:f>IF(OR(A164="",'02 Balance Sheet'!$B$2&lt;&gt;$A164),"",SUMIF('02 Balance Sheet'!$D:$D,"HKD",'02 Balance Sheet'!$H:$H))</x:f>
      </x:c>
      <x:c r="J164" s="12" t="str">
        <x:f>IF(A164="","",IF(COUNT(G164:I164)&lt;3,"Awaiting Month-End Snapshot",IF(OR(B164="",D164=""),"Awaiting Monthly Inputs","Ready to Close")))</x:f>
      </x:c>
      <x:c r="K164" s="22"/>
    </x:row>
    <x:row r="165" ht="19.5" customHeight="1">
      <x:c r="A165" s="25"/>
      <x:c r="B165" s="19"/>
      <x:c r="C165" s="19"/>
      <x:c r="D165" s="19"/>
      <x:c r="E165" s="19"/>
      <x:c r="F165" s="14" t="str">
        <x:f>IF(OR(A165="",B165="",D165=""),"",SUM(B165:C165)-N(D165)+N(E165))</x:f>
      </x:c>
      <x:c r="G165" s="14" t="str">
        <x:f>IF(OR(A165="",'02 Balance Sheet'!$B$2&lt;&gt;$A165),"",SUMIF('02 Balance Sheet'!$D:$D,"CNY",'02 Balance Sheet'!$H:$H))</x:f>
      </x:c>
      <x:c r="H165" s="14" t="str">
        <x:f>IF(OR(A165="",'02 Balance Sheet'!$B$2&lt;&gt;$A165),"",SUMIF('02 Balance Sheet'!$D:$D,"USD",'02 Balance Sheet'!$H:$H))</x:f>
      </x:c>
      <x:c r="I165" s="14" t="str">
        <x:f>IF(OR(A165="",'02 Balance Sheet'!$B$2&lt;&gt;$A165),"",SUMIF('02 Balance Sheet'!$D:$D,"HKD",'02 Balance Sheet'!$H:$H))</x:f>
      </x:c>
      <x:c r="J165" s="12" t="str">
        <x:f>IF(A165="","",IF(COUNT(G165:I165)&lt;3,"Awaiting Month-End Snapshot",IF(OR(B165="",D165=""),"Awaiting Monthly Inputs","Ready to Close")))</x:f>
      </x:c>
      <x:c r="K165" s="22"/>
    </x:row>
    <x:row r="166" ht="19.5" customHeight="1">
      <x:c r="A166" s="25"/>
      <x:c r="B166" s="19"/>
      <x:c r="C166" s="19"/>
      <x:c r="D166" s="19"/>
      <x:c r="E166" s="19"/>
      <x:c r="F166" s="14" t="str">
        <x:f>IF(OR(A166="",B166="",D166=""),"",SUM(B166:C166)-N(D166)+N(E166))</x:f>
      </x:c>
      <x:c r="G166" s="14" t="str">
        <x:f>IF(OR(A166="",'02 Balance Sheet'!$B$2&lt;&gt;$A166),"",SUMIF('02 Balance Sheet'!$D:$D,"CNY",'02 Balance Sheet'!$H:$H))</x:f>
      </x:c>
      <x:c r="H166" s="14" t="str">
        <x:f>IF(OR(A166="",'02 Balance Sheet'!$B$2&lt;&gt;$A166),"",SUMIF('02 Balance Sheet'!$D:$D,"USD",'02 Balance Sheet'!$H:$H))</x:f>
      </x:c>
      <x:c r="I166" s="14" t="str">
        <x:f>IF(OR(A166="",'02 Balance Sheet'!$B$2&lt;&gt;$A166),"",SUMIF('02 Balance Sheet'!$D:$D,"HKD",'02 Balance Sheet'!$H:$H))</x:f>
      </x:c>
      <x:c r="J166" s="12" t="str">
        <x:f>IF(A166="","",IF(COUNT(G166:I166)&lt;3,"Awaiting Month-End Snapshot",IF(OR(B166="",D166=""),"Awaiting Monthly Inputs","Ready to Close")))</x:f>
      </x:c>
      <x:c r="K166" s="22"/>
    </x:row>
    <x:row r="167" ht="19.5" customHeight="1">
      <x:c r="A167" s="25"/>
      <x:c r="B167" s="19"/>
      <x:c r="C167" s="19"/>
      <x:c r="D167" s="19"/>
      <x:c r="E167" s="19"/>
      <x:c r="F167" s="14" t="str">
        <x:f>IF(OR(A167="",B167="",D167=""),"",SUM(B167:C167)-N(D167)+N(E167))</x:f>
      </x:c>
      <x:c r="G167" s="14" t="str">
        <x:f>IF(OR(A167="",'02 Balance Sheet'!$B$2&lt;&gt;$A167),"",SUMIF('02 Balance Sheet'!$D:$D,"CNY",'02 Balance Sheet'!$H:$H))</x:f>
      </x:c>
      <x:c r="H167" s="14" t="str">
        <x:f>IF(OR(A167="",'02 Balance Sheet'!$B$2&lt;&gt;$A167),"",SUMIF('02 Balance Sheet'!$D:$D,"USD",'02 Balance Sheet'!$H:$H))</x:f>
      </x:c>
      <x:c r="I167" s="14" t="str">
        <x:f>IF(OR(A167="",'02 Balance Sheet'!$B$2&lt;&gt;$A167),"",SUMIF('02 Balance Sheet'!$D:$D,"HKD",'02 Balance Sheet'!$H:$H))</x:f>
      </x:c>
      <x:c r="J167" s="12" t="str">
        <x:f>IF(A167="","",IF(COUNT(G167:I167)&lt;3,"Awaiting Month-End Snapshot",IF(OR(B167="",D167=""),"Awaiting Monthly Inputs","Ready to Close")))</x:f>
      </x:c>
      <x:c r="K167" s="22"/>
    </x:row>
    <x:row r="168" ht="19.5" customHeight="1">
      <x:c r="A168" s="25"/>
      <x:c r="B168" s="19"/>
      <x:c r="C168" s="19"/>
      <x:c r="D168" s="19"/>
      <x:c r="E168" s="19"/>
      <x:c r="F168" s="14" t="str">
        <x:f>IF(OR(A168="",B168="",D168=""),"",SUM(B168:C168)-N(D168)+N(E168))</x:f>
      </x:c>
      <x:c r="G168" s="14" t="str">
        <x:f>IF(OR(A168="",'02 Balance Sheet'!$B$2&lt;&gt;$A168),"",SUMIF('02 Balance Sheet'!$D:$D,"CNY",'02 Balance Sheet'!$H:$H))</x:f>
      </x:c>
      <x:c r="H168" s="14" t="str">
        <x:f>IF(OR(A168="",'02 Balance Sheet'!$B$2&lt;&gt;$A168),"",SUMIF('02 Balance Sheet'!$D:$D,"USD",'02 Balance Sheet'!$H:$H))</x:f>
      </x:c>
      <x:c r="I168" s="14" t="str">
        <x:f>IF(OR(A168="",'02 Balance Sheet'!$B$2&lt;&gt;$A168),"",SUMIF('02 Balance Sheet'!$D:$D,"HKD",'02 Balance Sheet'!$H:$H))</x:f>
      </x:c>
      <x:c r="J168" s="12" t="str">
        <x:f>IF(A168="","",IF(COUNT(G168:I168)&lt;3,"Awaiting Month-End Snapshot",IF(OR(B168="",D168=""),"Awaiting Monthly Inputs","Ready to Close")))</x:f>
      </x:c>
      <x:c r="K168" s="22"/>
    </x:row>
    <x:row r="169" ht="19.5" customHeight="1">
      <x:c r="A169" s="25"/>
      <x:c r="B169" s="19"/>
      <x:c r="C169" s="19"/>
      <x:c r="D169" s="19"/>
      <x:c r="E169" s="19"/>
      <x:c r="F169" s="14" t="str">
        <x:f>IF(OR(A169="",B169="",D169=""),"",SUM(B169:C169)-N(D169)+N(E169))</x:f>
      </x:c>
      <x:c r="G169" s="14" t="str">
        <x:f>IF(OR(A169="",'02 Balance Sheet'!$B$2&lt;&gt;$A169),"",SUMIF('02 Balance Sheet'!$D:$D,"CNY",'02 Balance Sheet'!$H:$H))</x:f>
      </x:c>
      <x:c r="H169" s="14" t="str">
        <x:f>IF(OR(A169="",'02 Balance Sheet'!$B$2&lt;&gt;$A169),"",SUMIF('02 Balance Sheet'!$D:$D,"USD",'02 Balance Sheet'!$H:$H))</x:f>
      </x:c>
      <x:c r="I169" s="14" t="str">
        <x:f>IF(OR(A169="",'02 Balance Sheet'!$B$2&lt;&gt;$A169),"",SUMIF('02 Balance Sheet'!$D:$D,"HKD",'02 Balance Sheet'!$H:$H))</x:f>
      </x:c>
      <x:c r="J169" s="12" t="str">
        <x:f>IF(A169="","",IF(COUNT(G169:I169)&lt;3,"Awaiting Month-End Snapshot",IF(OR(B169="",D169=""),"Awaiting Monthly Inputs","Ready to Close")))</x:f>
      </x:c>
      <x:c r="K169" s="22"/>
    </x:row>
    <x:row r="170" ht="19.5" customHeight="1">
      <x:c r="A170" s="25"/>
      <x:c r="B170" s="19"/>
      <x:c r="C170" s="19"/>
      <x:c r="D170" s="19"/>
      <x:c r="E170" s="19"/>
      <x:c r="F170" s="14" t="str">
        <x:f>IF(OR(A170="",B170="",D170=""),"",SUM(B170:C170)-N(D170)+N(E170))</x:f>
      </x:c>
      <x:c r="G170" s="14" t="str">
        <x:f>IF(OR(A170="",'02 Balance Sheet'!$B$2&lt;&gt;$A170),"",SUMIF('02 Balance Sheet'!$D:$D,"CNY",'02 Balance Sheet'!$H:$H))</x:f>
      </x:c>
      <x:c r="H170" s="14" t="str">
        <x:f>IF(OR(A170="",'02 Balance Sheet'!$B$2&lt;&gt;$A170),"",SUMIF('02 Balance Sheet'!$D:$D,"USD",'02 Balance Sheet'!$H:$H))</x:f>
      </x:c>
      <x:c r="I170" s="14" t="str">
        <x:f>IF(OR(A170="",'02 Balance Sheet'!$B$2&lt;&gt;$A170),"",SUMIF('02 Balance Sheet'!$D:$D,"HKD",'02 Balance Sheet'!$H:$H))</x:f>
      </x:c>
      <x:c r="J170" s="12" t="str">
        <x:f>IF(A170="","",IF(COUNT(G170:I170)&lt;3,"Awaiting Month-End Snapshot",IF(OR(B170="",D170=""),"Awaiting Monthly Inputs","Ready to Close")))</x:f>
      </x:c>
      <x:c r="K170" s="22"/>
    </x:row>
    <x:row r="171" ht="19.5" customHeight="1">
      <x:c r="A171" s="25"/>
      <x:c r="B171" s="19"/>
      <x:c r="C171" s="19"/>
      <x:c r="D171" s="19"/>
      <x:c r="E171" s="19"/>
      <x:c r="F171" s="14" t="str">
        <x:f>IF(OR(A171="",B171="",D171=""),"",SUM(B171:C171)-N(D171)+N(E171))</x:f>
      </x:c>
      <x:c r="G171" s="14" t="str">
        <x:f>IF(OR(A171="",'02 Balance Sheet'!$B$2&lt;&gt;$A171),"",SUMIF('02 Balance Sheet'!$D:$D,"CNY",'02 Balance Sheet'!$H:$H))</x:f>
      </x:c>
      <x:c r="H171" s="14" t="str">
        <x:f>IF(OR(A171="",'02 Balance Sheet'!$B$2&lt;&gt;$A171),"",SUMIF('02 Balance Sheet'!$D:$D,"USD",'02 Balance Sheet'!$H:$H))</x:f>
      </x:c>
      <x:c r="I171" s="14" t="str">
        <x:f>IF(OR(A171="",'02 Balance Sheet'!$B$2&lt;&gt;$A171),"",SUMIF('02 Balance Sheet'!$D:$D,"HKD",'02 Balance Sheet'!$H:$H))</x:f>
      </x:c>
      <x:c r="J171" s="12" t="str">
        <x:f>IF(A171="","",IF(COUNT(G171:I171)&lt;3,"Awaiting Month-End Snapshot",IF(OR(B171="",D171=""),"Awaiting Monthly Inputs","Ready to Close")))</x:f>
      </x:c>
      <x:c r="K171" s="22"/>
    </x:row>
    <x:row r="172" ht="19.5" customHeight="1">
      <x:c r="A172" s="25"/>
      <x:c r="B172" s="19"/>
      <x:c r="C172" s="19"/>
      <x:c r="D172" s="19"/>
      <x:c r="E172" s="19"/>
      <x:c r="F172" s="14" t="str">
        <x:f>IF(OR(A172="",B172="",D172=""),"",SUM(B172:C172)-N(D172)+N(E172))</x:f>
      </x:c>
      <x:c r="G172" s="14" t="str">
        <x:f>IF(OR(A172="",'02 Balance Sheet'!$B$2&lt;&gt;$A172),"",SUMIF('02 Balance Sheet'!$D:$D,"CNY",'02 Balance Sheet'!$H:$H))</x:f>
      </x:c>
      <x:c r="H172" s="14" t="str">
        <x:f>IF(OR(A172="",'02 Balance Sheet'!$B$2&lt;&gt;$A172),"",SUMIF('02 Balance Sheet'!$D:$D,"USD",'02 Balance Sheet'!$H:$H))</x:f>
      </x:c>
      <x:c r="I172" s="14" t="str">
        <x:f>IF(OR(A172="",'02 Balance Sheet'!$B$2&lt;&gt;$A172),"",SUMIF('02 Balance Sheet'!$D:$D,"HKD",'02 Balance Sheet'!$H:$H))</x:f>
      </x:c>
      <x:c r="J172" s="12" t="str">
        <x:f>IF(A172="","",IF(COUNT(G172:I172)&lt;3,"Awaiting Month-End Snapshot",IF(OR(B172="",D172=""),"Awaiting Monthly Inputs","Ready to Close")))</x:f>
      </x:c>
      <x:c r="K172" s="22"/>
    </x:row>
    <x:row r="173" ht="19.5" customHeight="1">
      <x:c r="A173" s="25"/>
      <x:c r="B173" s="19"/>
      <x:c r="C173" s="19"/>
      <x:c r="D173" s="19"/>
      <x:c r="E173" s="19"/>
      <x:c r="F173" s="14" t="str">
        <x:f>IF(OR(A173="",B173="",D173=""),"",SUM(B173:C173)-N(D173)+N(E173))</x:f>
      </x:c>
      <x:c r="G173" s="14" t="str">
        <x:f>IF(OR(A173="",'02 Balance Sheet'!$B$2&lt;&gt;$A173),"",SUMIF('02 Balance Sheet'!$D:$D,"CNY",'02 Balance Sheet'!$H:$H))</x:f>
      </x:c>
      <x:c r="H173" s="14" t="str">
        <x:f>IF(OR(A173="",'02 Balance Sheet'!$B$2&lt;&gt;$A173),"",SUMIF('02 Balance Sheet'!$D:$D,"USD",'02 Balance Sheet'!$H:$H))</x:f>
      </x:c>
      <x:c r="I173" s="14" t="str">
        <x:f>IF(OR(A173="",'02 Balance Sheet'!$B$2&lt;&gt;$A173),"",SUMIF('02 Balance Sheet'!$D:$D,"HKD",'02 Balance Sheet'!$H:$H))</x:f>
      </x:c>
      <x:c r="J173" s="12" t="str">
        <x:f>IF(A173="","",IF(COUNT(G173:I173)&lt;3,"Awaiting Month-End Snapshot",IF(OR(B173="",D173=""),"Awaiting Monthly Inputs","Ready to Close")))</x:f>
      </x:c>
      <x:c r="K173" s="22"/>
    </x:row>
    <x:row r="174" ht="19.5" customHeight="1">
      <x:c r="A174" s="25"/>
      <x:c r="B174" s="19"/>
      <x:c r="C174" s="19"/>
      <x:c r="D174" s="19"/>
      <x:c r="E174" s="19"/>
      <x:c r="F174" s="14" t="str">
        <x:f>IF(OR(A174="",B174="",D174=""),"",SUM(B174:C174)-N(D174)+N(E174))</x:f>
      </x:c>
      <x:c r="G174" s="14" t="str">
        <x:f>IF(OR(A174="",'02 Balance Sheet'!$B$2&lt;&gt;$A174),"",SUMIF('02 Balance Sheet'!$D:$D,"CNY",'02 Balance Sheet'!$H:$H))</x:f>
      </x:c>
      <x:c r="H174" s="14" t="str">
        <x:f>IF(OR(A174="",'02 Balance Sheet'!$B$2&lt;&gt;$A174),"",SUMIF('02 Balance Sheet'!$D:$D,"USD",'02 Balance Sheet'!$H:$H))</x:f>
      </x:c>
      <x:c r="I174" s="14" t="str">
        <x:f>IF(OR(A174="",'02 Balance Sheet'!$B$2&lt;&gt;$A174),"",SUMIF('02 Balance Sheet'!$D:$D,"HKD",'02 Balance Sheet'!$H:$H))</x:f>
      </x:c>
      <x:c r="J174" s="12" t="str">
        <x:f>IF(A174="","",IF(COUNT(G174:I174)&lt;3,"Awaiting Month-End Snapshot",IF(OR(B174="",D174=""),"Awaiting Monthly Inputs","Ready to Close")))</x:f>
      </x:c>
      <x:c r="K174" s="22"/>
    </x:row>
    <x:row r="175" ht="19.5" customHeight="1">
      <x:c r="A175" s="25"/>
      <x:c r="B175" s="19"/>
      <x:c r="C175" s="19"/>
      <x:c r="D175" s="19"/>
      <x:c r="E175" s="19"/>
      <x:c r="F175" s="14" t="str">
        <x:f>IF(OR(A175="",B175="",D175=""),"",SUM(B175:C175)-N(D175)+N(E175))</x:f>
      </x:c>
      <x:c r="G175" s="14" t="str">
        <x:f>IF(OR(A175="",'02 Balance Sheet'!$B$2&lt;&gt;$A175),"",SUMIF('02 Balance Sheet'!$D:$D,"CNY",'02 Balance Sheet'!$H:$H))</x:f>
      </x:c>
      <x:c r="H175" s="14" t="str">
        <x:f>IF(OR(A175="",'02 Balance Sheet'!$B$2&lt;&gt;$A175),"",SUMIF('02 Balance Sheet'!$D:$D,"USD",'02 Balance Sheet'!$H:$H))</x:f>
      </x:c>
      <x:c r="I175" s="14" t="str">
        <x:f>IF(OR(A175="",'02 Balance Sheet'!$B$2&lt;&gt;$A175),"",SUMIF('02 Balance Sheet'!$D:$D,"HKD",'02 Balance Sheet'!$H:$H))</x:f>
      </x:c>
      <x:c r="J175" s="12" t="str">
        <x:f>IF(A175="","",IF(COUNT(G175:I175)&lt;3,"Awaiting Month-End Snapshot",IF(OR(B175="",D175=""),"Awaiting Monthly Inputs","Ready to Close")))</x:f>
      </x:c>
      <x:c r="K175" s="22"/>
    </x:row>
    <x:row r="176" ht="19.5" customHeight="1">
      <x:c r="A176" s="25"/>
      <x:c r="B176" s="19"/>
      <x:c r="C176" s="19"/>
      <x:c r="D176" s="19"/>
      <x:c r="E176" s="19"/>
      <x:c r="F176" s="14" t="str">
        <x:f>IF(OR(A176="",B176="",D176=""),"",SUM(B176:C176)-N(D176)+N(E176))</x:f>
      </x:c>
      <x:c r="G176" s="14" t="str">
        <x:f>IF(OR(A176="",'02 Balance Sheet'!$B$2&lt;&gt;$A176),"",SUMIF('02 Balance Sheet'!$D:$D,"CNY",'02 Balance Sheet'!$H:$H))</x:f>
      </x:c>
      <x:c r="H176" s="14" t="str">
        <x:f>IF(OR(A176="",'02 Balance Sheet'!$B$2&lt;&gt;$A176),"",SUMIF('02 Balance Sheet'!$D:$D,"USD",'02 Balance Sheet'!$H:$H))</x:f>
      </x:c>
      <x:c r="I176" s="14" t="str">
        <x:f>IF(OR(A176="",'02 Balance Sheet'!$B$2&lt;&gt;$A176),"",SUMIF('02 Balance Sheet'!$D:$D,"HKD",'02 Balance Sheet'!$H:$H))</x:f>
      </x:c>
      <x:c r="J176" s="12" t="str">
        <x:f>IF(A176="","",IF(COUNT(G176:I176)&lt;3,"Awaiting Month-End Snapshot",IF(OR(B176="",D176=""),"Awaiting Monthly Inputs","Ready to Close")))</x:f>
      </x:c>
      <x:c r="K176" s="22"/>
    </x:row>
    <x:row r="177" ht="19.5" customHeight="1">
      <x:c r="A177" s="25"/>
      <x:c r="B177" s="19"/>
      <x:c r="C177" s="19"/>
      <x:c r="D177" s="19"/>
      <x:c r="E177" s="19"/>
      <x:c r="F177" s="14" t="str">
        <x:f>IF(OR(A177="",B177="",D177=""),"",SUM(B177:C177)-N(D177)+N(E177))</x:f>
      </x:c>
      <x:c r="G177" s="14" t="str">
        <x:f>IF(OR(A177="",'02 Balance Sheet'!$B$2&lt;&gt;$A177),"",SUMIF('02 Balance Sheet'!$D:$D,"CNY",'02 Balance Sheet'!$H:$H))</x:f>
      </x:c>
      <x:c r="H177" s="14" t="str">
        <x:f>IF(OR(A177="",'02 Balance Sheet'!$B$2&lt;&gt;$A177),"",SUMIF('02 Balance Sheet'!$D:$D,"USD",'02 Balance Sheet'!$H:$H))</x:f>
      </x:c>
      <x:c r="I177" s="14" t="str">
        <x:f>IF(OR(A177="",'02 Balance Sheet'!$B$2&lt;&gt;$A177),"",SUMIF('02 Balance Sheet'!$D:$D,"HKD",'02 Balance Sheet'!$H:$H))</x:f>
      </x:c>
      <x:c r="J177" s="12" t="str">
        <x:f>IF(A177="","",IF(COUNT(G177:I177)&lt;3,"Awaiting Month-End Snapshot",IF(OR(B177="",D177=""),"Awaiting Monthly Inputs","Ready to Close")))</x:f>
      </x:c>
      <x:c r="K177" s="22"/>
    </x:row>
    <x:row r="178" ht="19.5" customHeight="1">
      <x:c r="A178" s="25"/>
      <x:c r="B178" s="19"/>
      <x:c r="C178" s="19"/>
      <x:c r="D178" s="19"/>
      <x:c r="E178" s="19"/>
      <x:c r="F178" s="14" t="str">
        <x:f>IF(OR(A178="",B178="",D178=""),"",SUM(B178:C178)-N(D178)+N(E178))</x:f>
      </x:c>
      <x:c r="G178" s="14" t="str">
        <x:f>IF(OR(A178="",'02 Balance Sheet'!$B$2&lt;&gt;$A178),"",SUMIF('02 Balance Sheet'!$D:$D,"CNY",'02 Balance Sheet'!$H:$H))</x:f>
      </x:c>
      <x:c r="H178" s="14" t="str">
        <x:f>IF(OR(A178="",'02 Balance Sheet'!$B$2&lt;&gt;$A178),"",SUMIF('02 Balance Sheet'!$D:$D,"USD",'02 Balance Sheet'!$H:$H))</x:f>
      </x:c>
      <x:c r="I178" s="14" t="str">
        <x:f>IF(OR(A178="",'02 Balance Sheet'!$B$2&lt;&gt;$A178),"",SUMIF('02 Balance Sheet'!$D:$D,"HKD",'02 Balance Sheet'!$H:$H))</x:f>
      </x:c>
      <x:c r="J178" s="12" t="str">
        <x:f>IF(A178="","",IF(COUNT(G178:I178)&lt;3,"Awaiting Month-End Snapshot",IF(OR(B178="",D178=""),"Awaiting Monthly Inputs","Ready to Close")))</x:f>
      </x:c>
      <x:c r="K178" s="22"/>
    </x:row>
    <x:row r="179" ht="19.5" customHeight="1">
      <x:c r="A179" s="25"/>
      <x:c r="B179" s="19"/>
      <x:c r="C179" s="19"/>
      <x:c r="D179" s="19"/>
      <x:c r="E179" s="19"/>
      <x:c r="F179" s="14" t="str">
        <x:f>IF(OR(A179="",B179="",D179=""),"",SUM(B179:C179)-N(D179)+N(E179))</x:f>
      </x:c>
      <x:c r="G179" s="14" t="str">
        <x:f>IF(OR(A179="",'02 Balance Sheet'!$B$2&lt;&gt;$A179),"",SUMIF('02 Balance Sheet'!$D:$D,"CNY",'02 Balance Sheet'!$H:$H))</x:f>
      </x:c>
      <x:c r="H179" s="14" t="str">
        <x:f>IF(OR(A179="",'02 Balance Sheet'!$B$2&lt;&gt;$A179),"",SUMIF('02 Balance Sheet'!$D:$D,"USD",'02 Balance Sheet'!$H:$H))</x:f>
      </x:c>
      <x:c r="I179" s="14" t="str">
        <x:f>IF(OR(A179="",'02 Balance Sheet'!$B$2&lt;&gt;$A179),"",SUMIF('02 Balance Sheet'!$D:$D,"HKD",'02 Balance Sheet'!$H:$H))</x:f>
      </x:c>
      <x:c r="J179" s="12" t="str">
        <x:f>IF(A179="","",IF(COUNT(G179:I179)&lt;3,"Awaiting Month-End Snapshot",IF(OR(B179="",D179=""),"Awaiting Monthly Inputs","Ready to Close")))</x:f>
      </x:c>
      <x:c r="K179" s="22"/>
    </x:row>
    <x:row r="180" ht="19.5" customHeight="1">
      <x:c r="A180" s="25"/>
      <x:c r="B180" s="19"/>
      <x:c r="C180" s="19"/>
      <x:c r="D180" s="19"/>
      <x:c r="E180" s="19"/>
      <x:c r="F180" s="14" t="str">
        <x:f>IF(OR(A180="",B180="",D180=""),"",SUM(B180:C180)-N(D180)+N(E180))</x:f>
      </x:c>
      <x:c r="G180" s="14" t="str">
        <x:f>IF(OR(A180="",'02 Balance Sheet'!$B$2&lt;&gt;$A180),"",SUMIF('02 Balance Sheet'!$D:$D,"CNY",'02 Balance Sheet'!$H:$H))</x:f>
      </x:c>
      <x:c r="H180" s="14" t="str">
        <x:f>IF(OR(A180="",'02 Balance Sheet'!$B$2&lt;&gt;$A180),"",SUMIF('02 Balance Sheet'!$D:$D,"USD",'02 Balance Sheet'!$H:$H))</x:f>
      </x:c>
      <x:c r="I180" s="14" t="str">
        <x:f>IF(OR(A180="",'02 Balance Sheet'!$B$2&lt;&gt;$A180),"",SUMIF('02 Balance Sheet'!$D:$D,"HKD",'02 Balance Sheet'!$H:$H))</x:f>
      </x:c>
      <x:c r="J180" s="12" t="str">
        <x:f>IF(A180="","",IF(COUNT(G180:I180)&lt;3,"Awaiting Month-End Snapshot",IF(OR(B180="",D180=""),"Awaiting Monthly Inputs","Ready to Close")))</x:f>
      </x:c>
      <x:c r="K180" s="22"/>
    </x:row>
    <x:row r="181" ht="19.5" customHeight="1">
      <x:c r="A181" s="25"/>
      <x:c r="B181" s="19"/>
      <x:c r="C181" s="19"/>
      <x:c r="D181" s="19"/>
      <x:c r="E181" s="19"/>
      <x:c r="F181" s="14" t="str">
        <x:f>IF(OR(A181="",B181="",D181=""),"",SUM(B181:C181)-N(D181)+N(E181))</x:f>
      </x:c>
      <x:c r="G181" s="14" t="str">
        <x:f>IF(OR(A181="",'02 Balance Sheet'!$B$2&lt;&gt;$A181),"",SUMIF('02 Balance Sheet'!$D:$D,"CNY",'02 Balance Sheet'!$H:$H))</x:f>
      </x:c>
      <x:c r="H181" s="14" t="str">
        <x:f>IF(OR(A181="",'02 Balance Sheet'!$B$2&lt;&gt;$A181),"",SUMIF('02 Balance Sheet'!$D:$D,"USD",'02 Balance Sheet'!$H:$H))</x:f>
      </x:c>
      <x:c r="I181" s="14" t="str">
        <x:f>IF(OR(A181="",'02 Balance Sheet'!$B$2&lt;&gt;$A181),"",SUMIF('02 Balance Sheet'!$D:$D,"HKD",'02 Balance Sheet'!$H:$H))</x:f>
      </x:c>
      <x:c r="J181" s="12" t="str">
        <x:f>IF(A181="","",IF(COUNT(G181:I181)&lt;3,"Awaiting Month-End Snapshot",IF(OR(B181="",D181=""),"Awaiting Monthly Inputs","Ready to Close")))</x:f>
      </x:c>
      <x:c r="K181" s="22"/>
    </x:row>
    <x:row r="182" ht="19.5" customHeight="1">
      <x:c r="A182" s="25"/>
      <x:c r="B182" s="19"/>
      <x:c r="C182" s="19"/>
      <x:c r="D182" s="19"/>
      <x:c r="E182" s="19"/>
      <x:c r="F182" s="14" t="str">
        <x:f>IF(OR(A182="",B182="",D182=""),"",SUM(B182:C182)-N(D182)+N(E182))</x:f>
      </x:c>
      <x:c r="G182" s="14" t="str">
        <x:f>IF(OR(A182="",'02 Balance Sheet'!$B$2&lt;&gt;$A182),"",SUMIF('02 Balance Sheet'!$D:$D,"CNY",'02 Balance Sheet'!$H:$H))</x:f>
      </x:c>
      <x:c r="H182" s="14" t="str">
        <x:f>IF(OR(A182="",'02 Balance Sheet'!$B$2&lt;&gt;$A182),"",SUMIF('02 Balance Sheet'!$D:$D,"USD",'02 Balance Sheet'!$H:$H))</x:f>
      </x:c>
      <x:c r="I182" s="14" t="str">
        <x:f>IF(OR(A182="",'02 Balance Sheet'!$B$2&lt;&gt;$A182),"",SUMIF('02 Balance Sheet'!$D:$D,"HKD",'02 Balance Sheet'!$H:$H))</x:f>
      </x:c>
      <x:c r="J182" s="12" t="str">
        <x:f>IF(A182="","",IF(COUNT(G182:I182)&lt;3,"Awaiting Month-End Snapshot",IF(OR(B182="",D182=""),"Awaiting Monthly Inputs","Ready to Close")))</x:f>
      </x:c>
      <x:c r="K182" s="22"/>
    </x:row>
    <x:row r="183" ht="19.5" customHeight="1">
      <x:c r="A183" s="25"/>
      <x:c r="B183" s="19"/>
      <x:c r="C183" s="19"/>
      <x:c r="D183" s="19"/>
      <x:c r="E183" s="19"/>
      <x:c r="F183" s="14" t="str">
        <x:f>IF(OR(A183="",B183="",D183=""),"",SUM(B183:C183)-N(D183)+N(E183))</x:f>
      </x:c>
      <x:c r="G183" s="14" t="str">
        <x:f>IF(OR(A183="",'02 Balance Sheet'!$B$2&lt;&gt;$A183),"",SUMIF('02 Balance Sheet'!$D:$D,"CNY",'02 Balance Sheet'!$H:$H))</x:f>
      </x:c>
      <x:c r="H183" s="14" t="str">
        <x:f>IF(OR(A183="",'02 Balance Sheet'!$B$2&lt;&gt;$A183),"",SUMIF('02 Balance Sheet'!$D:$D,"USD",'02 Balance Sheet'!$H:$H))</x:f>
      </x:c>
      <x:c r="I183" s="14" t="str">
        <x:f>IF(OR(A183="",'02 Balance Sheet'!$B$2&lt;&gt;$A183),"",SUMIF('02 Balance Sheet'!$D:$D,"HKD",'02 Balance Sheet'!$H:$H))</x:f>
      </x:c>
      <x:c r="J183" s="12" t="str">
        <x:f>IF(A183="","",IF(COUNT(G183:I183)&lt;3,"Awaiting Month-End Snapshot",IF(OR(B183="",D183=""),"Awaiting Monthly Inputs","Ready to Close")))</x:f>
      </x:c>
      <x:c r="K183" s="22"/>
    </x:row>
    <x:row r="184" ht="19.5" customHeight="1">
      <x:c r="A184" s="25"/>
      <x:c r="B184" s="19"/>
      <x:c r="C184" s="19"/>
      <x:c r="D184" s="19"/>
      <x:c r="E184" s="19"/>
      <x:c r="F184" s="14" t="str">
        <x:f>IF(OR(A184="",B184="",D184=""),"",SUM(B184:C184)-N(D184)+N(E184))</x:f>
      </x:c>
      <x:c r="G184" s="14" t="str">
        <x:f>IF(OR(A184="",'02 Balance Sheet'!$B$2&lt;&gt;$A184),"",SUMIF('02 Balance Sheet'!$D:$D,"CNY",'02 Balance Sheet'!$H:$H))</x:f>
      </x:c>
      <x:c r="H184" s="14" t="str">
        <x:f>IF(OR(A184="",'02 Balance Sheet'!$B$2&lt;&gt;$A184),"",SUMIF('02 Balance Sheet'!$D:$D,"USD",'02 Balance Sheet'!$H:$H))</x:f>
      </x:c>
      <x:c r="I184" s="14" t="str">
        <x:f>IF(OR(A184="",'02 Balance Sheet'!$B$2&lt;&gt;$A184),"",SUMIF('02 Balance Sheet'!$D:$D,"HKD",'02 Balance Sheet'!$H:$H))</x:f>
      </x:c>
      <x:c r="J184" s="12" t="str">
        <x:f>IF(A184="","",IF(COUNT(G184:I184)&lt;3,"Awaiting Month-End Snapshot",IF(OR(B184="",D184=""),"Awaiting Monthly Inputs","Ready to Close")))</x:f>
      </x:c>
      <x:c r="K184" s="22"/>
    </x:row>
    <x:row r="185" ht="19.5" customHeight="1">
      <x:c r="A185" s="25"/>
      <x:c r="B185" s="19"/>
      <x:c r="C185" s="19"/>
      <x:c r="D185" s="19"/>
      <x:c r="E185" s="19"/>
      <x:c r="F185" s="14" t="str">
        <x:f>IF(OR(A185="",B185="",D185=""),"",SUM(B185:C185)-N(D185)+N(E185))</x:f>
      </x:c>
      <x:c r="G185" s="14" t="str">
        <x:f>IF(OR(A185="",'02 Balance Sheet'!$B$2&lt;&gt;$A185),"",SUMIF('02 Balance Sheet'!$D:$D,"CNY",'02 Balance Sheet'!$H:$H))</x:f>
      </x:c>
      <x:c r="H185" s="14" t="str">
        <x:f>IF(OR(A185="",'02 Balance Sheet'!$B$2&lt;&gt;$A185),"",SUMIF('02 Balance Sheet'!$D:$D,"USD",'02 Balance Sheet'!$H:$H))</x:f>
      </x:c>
      <x:c r="I185" s="14" t="str">
        <x:f>IF(OR(A185="",'02 Balance Sheet'!$B$2&lt;&gt;$A185),"",SUMIF('02 Balance Sheet'!$D:$D,"HKD",'02 Balance Sheet'!$H:$H))</x:f>
      </x:c>
      <x:c r="J185" s="12" t="str">
        <x:f>IF(A185="","",IF(COUNT(G185:I185)&lt;3,"Awaiting Month-End Snapshot",IF(OR(B185="",D185=""),"Awaiting Monthly Inputs","Ready to Close")))</x:f>
      </x:c>
      <x:c r="K185" s="22"/>
    </x:row>
    <x:row r="186" ht="19.5" customHeight="1">
      <x:c r="A186" s="25"/>
      <x:c r="B186" s="19"/>
      <x:c r="C186" s="19"/>
      <x:c r="D186" s="19"/>
      <x:c r="E186" s="19"/>
      <x:c r="F186" s="14" t="str">
        <x:f>IF(OR(A186="",B186="",D186=""),"",SUM(B186:C186)-N(D186)+N(E186))</x:f>
      </x:c>
      <x:c r="G186" s="14" t="str">
        <x:f>IF(OR(A186="",'02 Balance Sheet'!$B$2&lt;&gt;$A186),"",SUMIF('02 Balance Sheet'!$D:$D,"CNY",'02 Balance Sheet'!$H:$H))</x:f>
      </x:c>
      <x:c r="H186" s="14" t="str">
        <x:f>IF(OR(A186="",'02 Balance Sheet'!$B$2&lt;&gt;$A186),"",SUMIF('02 Balance Sheet'!$D:$D,"USD",'02 Balance Sheet'!$H:$H))</x:f>
      </x:c>
      <x:c r="I186" s="14" t="str">
        <x:f>IF(OR(A186="",'02 Balance Sheet'!$B$2&lt;&gt;$A186),"",SUMIF('02 Balance Sheet'!$D:$D,"HKD",'02 Balance Sheet'!$H:$H))</x:f>
      </x:c>
      <x:c r="J186" s="12" t="str">
        <x:f>IF(A186="","",IF(COUNT(G186:I186)&lt;3,"Awaiting Month-End Snapshot",IF(OR(B186="",D186=""),"Awaiting Monthly Inputs","Ready to Close")))</x:f>
      </x:c>
      <x:c r="K186" s="22"/>
    </x:row>
    <x:row r="187" ht="19.5" customHeight="1">
      <x:c r="A187" s="25"/>
      <x:c r="B187" s="19"/>
      <x:c r="C187" s="19"/>
      <x:c r="D187" s="19"/>
      <x:c r="E187" s="19"/>
      <x:c r="F187" s="14" t="str">
        <x:f>IF(OR(A187="",B187="",D187=""),"",SUM(B187:C187)-N(D187)+N(E187))</x:f>
      </x:c>
      <x:c r="G187" s="14" t="str">
        <x:f>IF(OR(A187="",'02 Balance Sheet'!$B$2&lt;&gt;$A187),"",SUMIF('02 Balance Sheet'!$D:$D,"CNY",'02 Balance Sheet'!$H:$H))</x:f>
      </x:c>
      <x:c r="H187" s="14" t="str">
        <x:f>IF(OR(A187="",'02 Balance Sheet'!$B$2&lt;&gt;$A187),"",SUMIF('02 Balance Sheet'!$D:$D,"USD",'02 Balance Sheet'!$H:$H))</x:f>
      </x:c>
      <x:c r="I187" s="14" t="str">
        <x:f>IF(OR(A187="",'02 Balance Sheet'!$B$2&lt;&gt;$A187),"",SUMIF('02 Balance Sheet'!$D:$D,"HKD",'02 Balance Sheet'!$H:$H))</x:f>
      </x:c>
      <x:c r="J187" s="12" t="str">
        <x:f>IF(A187="","",IF(COUNT(G187:I187)&lt;3,"Awaiting Month-End Snapshot",IF(OR(B187="",D187=""),"Awaiting Monthly Inputs","Ready to Close")))</x:f>
      </x:c>
      <x:c r="K187" s="22"/>
    </x:row>
    <x:row r="188" ht="19.5" customHeight="1">
      <x:c r="A188" s="25"/>
      <x:c r="B188" s="19"/>
      <x:c r="C188" s="19"/>
      <x:c r="D188" s="19"/>
      <x:c r="E188" s="19"/>
      <x:c r="F188" s="14" t="str">
        <x:f>IF(OR(A188="",B188="",D188=""),"",SUM(B188:C188)-N(D188)+N(E188))</x:f>
      </x:c>
      <x:c r="G188" s="14" t="str">
        <x:f>IF(OR(A188="",'02 Balance Sheet'!$B$2&lt;&gt;$A188),"",SUMIF('02 Balance Sheet'!$D:$D,"CNY",'02 Balance Sheet'!$H:$H))</x:f>
      </x:c>
      <x:c r="H188" s="14" t="str">
        <x:f>IF(OR(A188="",'02 Balance Sheet'!$B$2&lt;&gt;$A188),"",SUMIF('02 Balance Sheet'!$D:$D,"USD",'02 Balance Sheet'!$H:$H))</x:f>
      </x:c>
      <x:c r="I188" s="14" t="str">
        <x:f>IF(OR(A188="",'02 Balance Sheet'!$B$2&lt;&gt;$A188),"",SUMIF('02 Balance Sheet'!$D:$D,"HKD",'02 Balance Sheet'!$H:$H))</x:f>
      </x:c>
      <x:c r="J188" s="12" t="str">
        <x:f>IF(A188="","",IF(COUNT(G188:I188)&lt;3,"Awaiting Month-End Snapshot",IF(OR(B188="",D188=""),"Awaiting Monthly Inputs","Ready to Close")))</x:f>
      </x:c>
      <x:c r="K188" s="22"/>
    </x:row>
    <x:row r="189" ht="19.5" customHeight="1">
      <x:c r="A189" s="25"/>
      <x:c r="B189" s="19"/>
      <x:c r="C189" s="19"/>
      <x:c r="D189" s="19"/>
      <x:c r="E189" s="19"/>
      <x:c r="F189" s="14" t="str">
        <x:f>IF(OR(A189="",B189="",D189=""),"",SUM(B189:C189)-N(D189)+N(E189))</x:f>
      </x:c>
      <x:c r="G189" s="14" t="str">
        <x:f>IF(OR(A189="",'02 Balance Sheet'!$B$2&lt;&gt;$A189),"",SUMIF('02 Balance Sheet'!$D:$D,"CNY",'02 Balance Sheet'!$H:$H))</x:f>
      </x:c>
      <x:c r="H189" s="14" t="str">
        <x:f>IF(OR(A189="",'02 Balance Sheet'!$B$2&lt;&gt;$A189),"",SUMIF('02 Balance Sheet'!$D:$D,"USD",'02 Balance Sheet'!$H:$H))</x:f>
      </x:c>
      <x:c r="I189" s="14" t="str">
        <x:f>IF(OR(A189="",'02 Balance Sheet'!$B$2&lt;&gt;$A189),"",SUMIF('02 Balance Sheet'!$D:$D,"HKD",'02 Balance Sheet'!$H:$H))</x:f>
      </x:c>
      <x:c r="J189" s="12" t="str">
        <x:f>IF(A189="","",IF(COUNT(G189:I189)&lt;3,"Awaiting Month-End Snapshot",IF(OR(B189="",D189=""),"Awaiting Monthly Inputs","Ready to Close")))</x:f>
      </x:c>
      <x:c r="K189" s="22"/>
    </x:row>
    <x:row r="190" ht="19.5" customHeight="1">
      <x:c r="A190" s="25"/>
      <x:c r="B190" s="19"/>
      <x:c r="C190" s="19"/>
      <x:c r="D190" s="19"/>
      <x:c r="E190" s="19"/>
      <x:c r="F190" s="14" t="str">
        <x:f>IF(OR(A190="",B190="",D190=""),"",SUM(B190:C190)-N(D190)+N(E190))</x:f>
      </x:c>
      <x:c r="G190" s="14" t="str">
        <x:f>IF(OR(A190="",'02 Balance Sheet'!$B$2&lt;&gt;$A190),"",SUMIF('02 Balance Sheet'!$D:$D,"CNY",'02 Balance Sheet'!$H:$H))</x:f>
      </x:c>
      <x:c r="H190" s="14" t="str">
        <x:f>IF(OR(A190="",'02 Balance Sheet'!$B$2&lt;&gt;$A190),"",SUMIF('02 Balance Sheet'!$D:$D,"USD",'02 Balance Sheet'!$H:$H))</x:f>
      </x:c>
      <x:c r="I190" s="14" t="str">
        <x:f>IF(OR(A190="",'02 Balance Sheet'!$B$2&lt;&gt;$A190),"",SUMIF('02 Balance Sheet'!$D:$D,"HKD",'02 Balance Sheet'!$H:$H))</x:f>
      </x:c>
      <x:c r="J190" s="12" t="str">
        <x:f>IF(A190="","",IF(COUNT(G190:I190)&lt;3,"Awaiting Month-End Snapshot",IF(OR(B190="",D190=""),"Awaiting Monthly Inputs","Ready to Close")))</x:f>
      </x:c>
      <x:c r="K190" s="22"/>
    </x:row>
    <x:row r="191" ht="19.5" customHeight="1">
      <x:c r="A191" s="25"/>
      <x:c r="B191" s="19"/>
      <x:c r="C191" s="19"/>
      <x:c r="D191" s="19"/>
      <x:c r="E191" s="19"/>
      <x:c r="F191" s="14" t="str">
        <x:f>IF(OR(A191="",B191="",D191=""),"",SUM(B191:C191)-N(D191)+N(E191))</x:f>
      </x:c>
      <x:c r="G191" s="14" t="str">
        <x:f>IF(OR(A191="",'02 Balance Sheet'!$B$2&lt;&gt;$A191),"",SUMIF('02 Balance Sheet'!$D:$D,"CNY",'02 Balance Sheet'!$H:$H))</x:f>
      </x:c>
      <x:c r="H191" s="14" t="str">
        <x:f>IF(OR(A191="",'02 Balance Sheet'!$B$2&lt;&gt;$A191),"",SUMIF('02 Balance Sheet'!$D:$D,"USD",'02 Balance Sheet'!$H:$H))</x:f>
      </x:c>
      <x:c r="I191" s="14" t="str">
        <x:f>IF(OR(A191="",'02 Balance Sheet'!$B$2&lt;&gt;$A191),"",SUMIF('02 Balance Sheet'!$D:$D,"HKD",'02 Balance Sheet'!$H:$H))</x:f>
      </x:c>
      <x:c r="J191" s="12" t="str">
        <x:f>IF(A191="","",IF(COUNT(G191:I191)&lt;3,"Awaiting Month-End Snapshot",IF(OR(B191="",D191=""),"Awaiting Monthly Inputs","Ready to Close")))</x:f>
      </x:c>
      <x:c r="K191" s="22"/>
    </x:row>
    <x:row r="192" ht="19.5" customHeight="1">
      <x:c r="A192" s="25"/>
      <x:c r="B192" s="19"/>
      <x:c r="C192" s="19"/>
      <x:c r="D192" s="19"/>
      <x:c r="E192" s="19"/>
      <x:c r="F192" s="14" t="str">
        <x:f>IF(OR(A192="",B192="",D192=""),"",SUM(B192:C192)-N(D192)+N(E192))</x:f>
      </x:c>
      <x:c r="G192" s="14" t="str">
        <x:f>IF(OR(A192="",'02 Balance Sheet'!$B$2&lt;&gt;$A192),"",SUMIF('02 Balance Sheet'!$D:$D,"CNY",'02 Balance Sheet'!$H:$H))</x:f>
      </x:c>
      <x:c r="H192" s="14" t="str">
        <x:f>IF(OR(A192="",'02 Balance Sheet'!$B$2&lt;&gt;$A192),"",SUMIF('02 Balance Sheet'!$D:$D,"USD",'02 Balance Sheet'!$H:$H))</x:f>
      </x:c>
      <x:c r="I192" s="14" t="str">
        <x:f>IF(OR(A192="",'02 Balance Sheet'!$B$2&lt;&gt;$A192),"",SUMIF('02 Balance Sheet'!$D:$D,"HKD",'02 Balance Sheet'!$H:$H))</x:f>
      </x:c>
      <x:c r="J192" s="12" t="str">
        <x:f>IF(A192="","",IF(COUNT(G192:I192)&lt;3,"Awaiting Month-End Snapshot",IF(OR(B192="",D192=""),"Awaiting Monthly Inputs","Ready to Close")))</x:f>
      </x:c>
      <x:c r="K192" s="22"/>
    </x:row>
    <x:row r="193" ht="19.5" customHeight="1">
      <x:c r="A193" s="25"/>
      <x:c r="B193" s="19"/>
      <x:c r="C193" s="19"/>
      <x:c r="D193" s="19"/>
      <x:c r="E193" s="19"/>
      <x:c r="F193" s="14" t="str">
        <x:f>IF(OR(A193="",B193="",D193=""),"",SUM(B193:C193)-N(D193)+N(E193))</x:f>
      </x:c>
      <x:c r="G193" s="14" t="str">
        <x:f>IF(OR(A193="",'02 Balance Sheet'!$B$2&lt;&gt;$A193),"",SUMIF('02 Balance Sheet'!$D:$D,"CNY",'02 Balance Sheet'!$H:$H))</x:f>
      </x:c>
      <x:c r="H193" s="14" t="str">
        <x:f>IF(OR(A193="",'02 Balance Sheet'!$B$2&lt;&gt;$A193),"",SUMIF('02 Balance Sheet'!$D:$D,"USD",'02 Balance Sheet'!$H:$H))</x:f>
      </x:c>
      <x:c r="I193" s="14" t="str">
        <x:f>IF(OR(A193="",'02 Balance Sheet'!$B$2&lt;&gt;$A193),"",SUMIF('02 Balance Sheet'!$D:$D,"HKD",'02 Balance Sheet'!$H:$H))</x:f>
      </x:c>
      <x:c r="J193" s="12" t="str">
        <x:f>IF(A193="","",IF(COUNT(G193:I193)&lt;3,"Awaiting Month-End Snapshot",IF(OR(B193="",D193=""),"Awaiting Monthly Inputs","Ready to Close")))</x:f>
      </x:c>
      <x:c r="K193" s="22"/>
    </x:row>
    <x:row r="194" ht="19.5" customHeight="1">
      <x:c r="A194" s="25"/>
      <x:c r="B194" s="19"/>
      <x:c r="C194" s="19"/>
      <x:c r="D194" s="19"/>
      <x:c r="E194" s="19"/>
      <x:c r="F194" s="14" t="str">
        <x:f>IF(OR(A194="",B194="",D194=""),"",SUM(B194:C194)-N(D194)+N(E194))</x:f>
      </x:c>
      <x:c r="G194" s="14" t="str">
        <x:f>IF(OR(A194="",'02 Balance Sheet'!$B$2&lt;&gt;$A194),"",SUMIF('02 Balance Sheet'!$D:$D,"CNY",'02 Balance Sheet'!$H:$H))</x:f>
      </x:c>
      <x:c r="H194" s="14" t="str">
        <x:f>IF(OR(A194="",'02 Balance Sheet'!$B$2&lt;&gt;$A194),"",SUMIF('02 Balance Sheet'!$D:$D,"USD",'02 Balance Sheet'!$H:$H))</x:f>
      </x:c>
      <x:c r="I194" s="14" t="str">
        <x:f>IF(OR(A194="",'02 Balance Sheet'!$B$2&lt;&gt;$A194),"",SUMIF('02 Balance Sheet'!$D:$D,"HKD",'02 Balance Sheet'!$H:$H))</x:f>
      </x:c>
      <x:c r="J194" s="12" t="str">
        <x:f>IF(A194="","",IF(COUNT(G194:I194)&lt;3,"Awaiting Month-End Snapshot",IF(OR(B194="",D194=""),"Awaiting Monthly Inputs","Ready to Close")))</x:f>
      </x:c>
      <x:c r="K194" s="22"/>
    </x:row>
    <x:row r="195" ht="19.5" customHeight="1">
      <x:c r="A195" s="25"/>
      <x:c r="B195" s="19"/>
      <x:c r="C195" s="19"/>
      <x:c r="D195" s="19"/>
      <x:c r="E195" s="19"/>
      <x:c r="F195" s="14" t="str">
        <x:f>IF(OR(A195="",B195="",D195=""),"",SUM(B195:C195)-N(D195)+N(E195))</x:f>
      </x:c>
      <x:c r="G195" s="14" t="str">
        <x:f>IF(OR(A195="",'02 Balance Sheet'!$B$2&lt;&gt;$A195),"",SUMIF('02 Balance Sheet'!$D:$D,"CNY",'02 Balance Sheet'!$H:$H))</x:f>
      </x:c>
      <x:c r="H195" s="14" t="str">
        <x:f>IF(OR(A195="",'02 Balance Sheet'!$B$2&lt;&gt;$A195),"",SUMIF('02 Balance Sheet'!$D:$D,"USD",'02 Balance Sheet'!$H:$H))</x:f>
      </x:c>
      <x:c r="I195" s="14" t="str">
        <x:f>IF(OR(A195="",'02 Balance Sheet'!$B$2&lt;&gt;$A195),"",SUMIF('02 Balance Sheet'!$D:$D,"HKD",'02 Balance Sheet'!$H:$H))</x:f>
      </x:c>
      <x:c r="J195" s="12" t="str">
        <x:f>IF(A195="","",IF(COUNT(G195:I195)&lt;3,"Awaiting Month-End Snapshot",IF(OR(B195="",D195=""),"Awaiting Monthly Inputs","Ready to Close")))</x:f>
      </x:c>
      <x:c r="K195" s="22"/>
    </x:row>
    <x:row r="196" ht="19.5" customHeight="1">
      <x:c r="A196" s="25"/>
      <x:c r="B196" s="19"/>
      <x:c r="C196" s="19"/>
      <x:c r="D196" s="19"/>
      <x:c r="E196" s="19"/>
      <x:c r="F196" s="14" t="str">
        <x:f>IF(OR(A196="",B196="",D196=""),"",SUM(B196:C196)-N(D196)+N(E196))</x:f>
      </x:c>
      <x:c r="G196" s="14" t="str">
        <x:f>IF(OR(A196="",'02 Balance Sheet'!$B$2&lt;&gt;$A196),"",SUMIF('02 Balance Sheet'!$D:$D,"CNY",'02 Balance Sheet'!$H:$H))</x:f>
      </x:c>
      <x:c r="H196" s="14" t="str">
        <x:f>IF(OR(A196="",'02 Balance Sheet'!$B$2&lt;&gt;$A196),"",SUMIF('02 Balance Sheet'!$D:$D,"USD",'02 Balance Sheet'!$H:$H))</x:f>
      </x:c>
      <x:c r="I196" s="14" t="str">
        <x:f>IF(OR(A196="",'02 Balance Sheet'!$B$2&lt;&gt;$A196),"",SUMIF('02 Balance Sheet'!$D:$D,"HKD",'02 Balance Sheet'!$H:$H))</x:f>
      </x:c>
      <x:c r="J196" s="12" t="str">
        <x:f>IF(A196="","",IF(COUNT(G196:I196)&lt;3,"Awaiting Month-End Snapshot",IF(OR(B196="",D196=""),"Awaiting Monthly Inputs","Ready to Close")))</x:f>
      </x:c>
      <x:c r="K196" s="22"/>
    </x:row>
    <x:row r="197" ht="19.5" customHeight="1">
      <x:c r="A197" s="25"/>
      <x:c r="B197" s="19"/>
      <x:c r="C197" s="19"/>
      <x:c r="D197" s="19"/>
      <x:c r="E197" s="19"/>
      <x:c r="F197" s="14" t="str">
        <x:f>IF(OR(A197="",B197="",D197=""),"",SUM(B197:C197)-N(D197)+N(E197))</x:f>
      </x:c>
      <x:c r="G197" s="14" t="str">
        <x:f>IF(OR(A197="",'02 Balance Sheet'!$B$2&lt;&gt;$A197),"",SUMIF('02 Balance Sheet'!$D:$D,"CNY",'02 Balance Sheet'!$H:$H))</x:f>
      </x:c>
      <x:c r="H197" s="14" t="str">
        <x:f>IF(OR(A197="",'02 Balance Sheet'!$B$2&lt;&gt;$A197),"",SUMIF('02 Balance Sheet'!$D:$D,"USD",'02 Balance Sheet'!$H:$H))</x:f>
      </x:c>
      <x:c r="I197" s="14" t="str">
        <x:f>IF(OR(A197="",'02 Balance Sheet'!$B$2&lt;&gt;$A197),"",SUMIF('02 Balance Sheet'!$D:$D,"HKD",'02 Balance Sheet'!$H:$H))</x:f>
      </x:c>
      <x:c r="J197" s="12" t="str">
        <x:f>IF(A197="","",IF(COUNT(G197:I197)&lt;3,"Awaiting Month-End Snapshot",IF(OR(B197="",D197=""),"Awaiting Monthly Inputs","Ready to Close")))</x:f>
      </x:c>
      <x:c r="K197" s="22"/>
    </x:row>
    <x:row r="198" ht="19.5" customHeight="1">
      <x:c r="A198" s="25"/>
      <x:c r="B198" s="19"/>
      <x:c r="C198" s="19"/>
      <x:c r="D198" s="19"/>
      <x:c r="E198" s="19"/>
      <x:c r="F198" s="14" t="str">
        <x:f>IF(OR(A198="",B198="",D198=""),"",SUM(B198:C198)-N(D198)+N(E198))</x:f>
      </x:c>
      <x:c r="G198" s="14" t="str">
        <x:f>IF(OR(A198="",'02 Balance Sheet'!$B$2&lt;&gt;$A198),"",SUMIF('02 Balance Sheet'!$D:$D,"CNY",'02 Balance Sheet'!$H:$H))</x:f>
      </x:c>
      <x:c r="H198" s="14" t="str">
        <x:f>IF(OR(A198="",'02 Balance Sheet'!$B$2&lt;&gt;$A198),"",SUMIF('02 Balance Sheet'!$D:$D,"USD",'02 Balance Sheet'!$H:$H))</x:f>
      </x:c>
      <x:c r="I198" s="14" t="str">
        <x:f>IF(OR(A198="",'02 Balance Sheet'!$B$2&lt;&gt;$A198),"",SUMIF('02 Balance Sheet'!$D:$D,"HKD",'02 Balance Sheet'!$H:$H))</x:f>
      </x:c>
      <x:c r="J198" s="12" t="str">
        <x:f>IF(A198="","",IF(COUNT(G198:I198)&lt;3,"Awaiting Month-End Snapshot",IF(OR(B198="",D198=""),"Awaiting Monthly Inputs","Ready to Close")))</x:f>
      </x:c>
      <x:c r="K198" s="22"/>
    </x:row>
    <x:row r="199" ht="19.5" customHeight="1">
      <x:c r="A199" s="25"/>
      <x:c r="B199" s="19"/>
      <x:c r="C199" s="19"/>
      <x:c r="D199" s="19"/>
      <x:c r="E199" s="19"/>
      <x:c r="F199" s="14" t="str">
        <x:f>IF(OR(A199="",B199="",D199=""),"",SUM(B199:C199)-N(D199)+N(E199))</x:f>
      </x:c>
      <x:c r="G199" s="14" t="str">
        <x:f>IF(OR(A199="",'02 Balance Sheet'!$B$2&lt;&gt;$A199),"",SUMIF('02 Balance Sheet'!$D:$D,"CNY",'02 Balance Sheet'!$H:$H))</x:f>
      </x:c>
      <x:c r="H199" s="14" t="str">
        <x:f>IF(OR(A199="",'02 Balance Sheet'!$B$2&lt;&gt;$A199),"",SUMIF('02 Balance Sheet'!$D:$D,"USD",'02 Balance Sheet'!$H:$H))</x:f>
      </x:c>
      <x:c r="I199" s="14" t="str">
        <x:f>IF(OR(A199="",'02 Balance Sheet'!$B$2&lt;&gt;$A199),"",SUMIF('02 Balance Sheet'!$D:$D,"HKD",'02 Balance Sheet'!$H:$H))</x:f>
      </x:c>
      <x:c r="J199" s="12" t="str">
        <x:f>IF(A199="","",IF(COUNT(G199:I199)&lt;3,"Awaiting Month-End Snapshot",IF(OR(B199="",D199=""),"Awaiting Monthly Inputs","Ready to Close")))</x:f>
      </x:c>
      <x:c r="K199" s="22"/>
    </x:row>
    <x:row r="200" ht="19.5" customHeight="1">
      <x:c r="A200" s="25"/>
      <x:c r="B200" s="19"/>
      <x:c r="C200" s="19"/>
      <x:c r="D200" s="19"/>
      <x:c r="E200" s="19"/>
      <x:c r="F200" s="14" t="str">
        <x:f>IF(OR(A200="",B200="",D200=""),"",SUM(B200:C200)-N(D200)+N(E200))</x:f>
      </x:c>
      <x:c r="G200" s="14" t="str">
        <x:f>IF(OR(A200="",'02 Balance Sheet'!$B$2&lt;&gt;$A200),"",SUMIF('02 Balance Sheet'!$D:$D,"CNY",'02 Balance Sheet'!$H:$H))</x:f>
      </x:c>
      <x:c r="H200" s="14" t="str">
        <x:f>IF(OR(A200="",'02 Balance Sheet'!$B$2&lt;&gt;$A200),"",SUMIF('02 Balance Sheet'!$D:$D,"USD",'02 Balance Sheet'!$H:$H))</x:f>
      </x:c>
      <x:c r="I200" s="14" t="str">
        <x:f>IF(OR(A200="",'02 Balance Sheet'!$B$2&lt;&gt;$A200),"",SUMIF('02 Balance Sheet'!$D:$D,"HKD",'02 Balance Sheet'!$H:$H))</x:f>
      </x:c>
      <x:c r="J200" s="12" t="str">
        <x:f>IF(A200="","",IF(COUNT(G200:I200)&lt;3,"Awaiting Month-End Snapshot",IF(OR(B200="",D200=""),"Awaiting Monthly Inputs","Ready to Close")))</x:f>
      </x:c>
      <x:c r="K200" s="22"/>
    </x:row>
    <x:row r="201" ht="19.5" customHeight="1">
      <x:c r="A201" s="25"/>
      <x:c r="B201" s="19"/>
      <x:c r="C201" s="19"/>
      <x:c r="D201" s="19"/>
      <x:c r="E201" s="19"/>
      <x:c r="F201" s="14" t="str">
        <x:f>IF(OR(A201="",B201="",D201=""),"",SUM(B201:C201)-N(D201)+N(E201))</x:f>
      </x:c>
      <x:c r="G201" s="14" t="str">
        <x:f>IF(OR(A201="",'02 Balance Sheet'!$B$2&lt;&gt;$A201),"",SUMIF('02 Balance Sheet'!$D:$D,"CNY",'02 Balance Sheet'!$H:$H))</x:f>
      </x:c>
      <x:c r="H201" s="14" t="str">
        <x:f>IF(OR(A201="",'02 Balance Sheet'!$B$2&lt;&gt;$A201),"",SUMIF('02 Balance Sheet'!$D:$D,"USD",'02 Balance Sheet'!$H:$H))</x:f>
      </x:c>
      <x:c r="I201" s="14" t="str">
        <x:f>IF(OR(A201="",'02 Balance Sheet'!$B$2&lt;&gt;$A201),"",SUMIF('02 Balance Sheet'!$D:$D,"HKD",'02 Balance Sheet'!$H:$H))</x:f>
      </x:c>
      <x:c r="J201" s="12" t="str">
        <x:f>IF(A201="","",IF(COUNT(G201:I201)&lt;3,"Awaiting Month-End Snapshot",IF(OR(B201="",D201=""),"Awaiting Monthly Inputs","Ready to Close")))</x:f>
      </x:c>
      <x:c r="K201" s="22"/>
    </x:row>
    <x:row r="202" ht="19.5" customHeight="1">
      <x:c r="A202" s="25"/>
      <x:c r="B202" s="19"/>
      <x:c r="C202" s="19"/>
      <x:c r="D202" s="19"/>
      <x:c r="E202" s="19"/>
      <x:c r="F202" s="14" t="str">
        <x:f>IF(OR(A202="",B202="",D202=""),"",SUM(B202:C202)-N(D202)+N(E202))</x:f>
      </x:c>
      <x:c r="G202" s="14" t="str">
        <x:f>IF(OR(A202="",'02 Balance Sheet'!$B$2&lt;&gt;$A202),"",SUMIF('02 Balance Sheet'!$D:$D,"CNY",'02 Balance Sheet'!$H:$H))</x:f>
      </x:c>
      <x:c r="H202" s="14" t="str">
        <x:f>IF(OR(A202="",'02 Balance Sheet'!$B$2&lt;&gt;$A202),"",SUMIF('02 Balance Sheet'!$D:$D,"USD",'02 Balance Sheet'!$H:$H))</x:f>
      </x:c>
      <x:c r="I202" s="14" t="str">
        <x:f>IF(OR(A202="",'02 Balance Sheet'!$B$2&lt;&gt;$A202),"",SUMIF('02 Balance Sheet'!$D:$D,"HKD",'02 Balance Sheet'!$H:$H))</x:f>
      </x:c>
      <x:c r="J202" s="12" t="str">
        <x:f>IF(A202="","",IF(COUNT(G202:I202)&lt;3,"Awaiting Month-End Snapshot",IF(OR(B202="",D202=""),"Awaiting Monthly Inputs","Ready to Close")))</x:f>
      </x:c>
      <x:c r="K202" s="22"/>
    </x:row>
    <x:row r="203" ht="19.5" customHeight="1">
      <x:c r="A203" s="25"/>
      <x:c r="B203" s="19"/>
      <x:c r="C203" s="19"/>
      <x:c r="D203" s="19"/>
      <x:c r="E203" s="19"/>
      <x:c r="F203" s="14" t="str">
        <x:f>IF(OR(A203="",B203="",D203=""),"",SUM(B203:C203)-N(D203)+N(E203))</x:f>
      </x:c>
      <x:c r="G203" s="14" t="str">
        <x:f>IF(OR(A203="",'02 Balance Sheet'!$B$2&lt;&gt;$A203),"",SUMIF('02 Balance Sheet'!$D:$D,"CNY",'02 Balance Sheet'!$H:$H))</x:f>
      </x:c>
      <x:c r="H203" s="14" t="str">
        <x:f>IF(OR(A203="",'02 Balance Sheet'!$B$2&lt;&gt;$A203),"",SUMIF('02 Balance Sheet'!$D:$D,"USD",'02 Balance Sheet'!$H:$H))</x:f>
      </x:c>
      <x:c r="I203" s="14" t="str">
        <x:f>IF(OR(A203="",'02 Balance Sheet'!$B$2&lt;&gt;$A203),"",SUMIF('02 Balance Sheet'!$D:$D,"HKD",'02 Balance Sheet'!$H:$H))</x:f>
      </x:c>
      <x:c r="J203" s="12" t="str">
        <x:f>IF(A203="","",IF(COUNT(G203:I203)&lt;3,"Awaiting Month-End Snapshot",IF(OR(B203="",D203=""),"Awaiting Monthly Inputs","Ready to Close")))</x:f>
      </x:c>
      <x:c r="K203" s="22"/>
    </x:row>
    <x:row r="204" ht="19.5" customHeight="1">
      <x:c r="A204" s="25"/>
      <x:c r="B204" s="19"/>
      <x:c r="C204" s="19"/>
      <x:c r="D204" s="19"/>
      <x:c r="E204" s="19"/>
      <x:c r="F204" s="14" t="str">
        <x:f>IF(OR(A204="",B204="",D204=""),"",SUM(B204:C204)-N(D204)+N(E204))</x:f>
      </x:c>
      <x:c r="G204" s="14" t="str">
        <x:f>IF(OR(A204="",'02 Balance Sheet'!$B$2&lt;&gt;$A204),"",SUMIF('02 Balance Sheet'!$D:$D,"CNY",'02 Balance Sheet'!$H:$H))</x:f>
      </x:c>
      <x:c r="H204" s="14" t="str">
        <x:f>IF(OR(A204="",'02 Balance Sheet'!$B$2&lt;&gt;$A204),"",SUMIF('02 Balance Sheet'!$D:$D,"USD",'02 Balance Sheet'!$H:$H))</x:f>
      </x:c>
      <x:c r="I204" s="14" t="str">
        <x:f>IF(OR(A204="",'02 Balance Sheet'!$B$2&lt;&gt;$A204),"",SUMIF('02 Balance Sheet'!$D:$D,"HKD",'02 Balance Sheet'!$H:$H))</x:f>
      </x:c>
      <x:c r="J204" s="12" t="str">
        <x:f>IF(A204="","",IF(COUNT(G204:I204)&lt;3,"Awaiting Month-End Snapshot",IF(OR(B204="",D204=""),"Awaiting Monthly Inputs","Ready to Close")))</x:f>
      </x:c>
      <x:c r="K204" s="22"/>
    </x:row>
    <x:row r="205" ht="19.5" customHeight="1">
      <x:c r="A205" s="25"/>
      <x:c r="B205" s="19"/>
      <x:c r="C205" s="19"/>
      <x:c r="D205" s="19"/>
      <x:c r="E205" s="19"/>
      <x:c r="F205" s="14" t="str">
        <x:f>IF(OR(A205="",B205="",D205=""),"",SUM(B205:C205)-N(D205)+N(E205))</x:f>
      </x:c>
      <x:c r="G205" s="14" t="str">
        <x:f>IF(OR(A205="",'02 Balance Sheet'!$B$2&lt;&gt;$A205),"",SUMIF('02 Balance Sheet'!$D:$D,"CNY",'02 Balance Sheet'!$H:$H))</x:f>
      </x:c>
      <x:c r="H205" s="14" t="str">
        <x:f>IF(OR(A205="",'02 Balance Sheet'!$B$2&lt;&gt;$A205),"",SUMIF('02 Balance Sheet'!$D:$D,"USD",'02 Balance Sheet'!$H:$H))</x:f>
      </x:c>
      <x:c r="I205" s="14" t="str">
        <x:f>IF(OR(A205="",'02 Balance Sheet'!$B$2&lt;&gt;$A205),"",SUMIF('02 Balance Sheet'!$D:$D,"HKD",'02 Balance Sheet'!$H:$H))</x:f>
      </x:c>
      <x:c r="J205" s="12" t="str">
        <x:f>IF(A205="","",IF(COUNT(G205:I205)&lt;3,"Awaiting Month-End Snapshot",IF(OR(B205="",D205=""),"Awaiting Monthly Inputs","Ready to Close")))</x:f>
      </x:c>
      <x:c r="K205" s="22"/>
    </x:row>
    <x:row r="206" ht="19.5" customHeight="1">
      <x:c r="A206" s="25"/>
      <x:c r="B206" s="19"/>
      <x:c r="C206" s="19"/>
      <x:c r="D206" s="19"/>
      <x:c r="E206" s="19"/>
      <x:c r="F206" s="14" t="str">
        <x:f>IF(OR(A206="",B206="",D206=""),"",SUM(B206:C206)-N(D206)+N(E206))</x:f>
      </x:c>
      <x:c r="G206" s="14" t="str">
        <x:f>IF(OR(A206="",'02 Balance Sheet'!$B$2&lt;&gt;$A206),"",SUMIF('02 Balance Sheet'!$D:$D,"CNY",'02 Balance Sheet'!$H:$H))</x:f>
      </x:c>
      <x:c r="H206" s="14" t="str">
        <x:f>IF(OR(A206="",'02 Balance Sheet'!$B$2&lt;&gt;$A206),"",SUMIF('02 Balance Sheet'!$D:$D,"USD",'02 Balance Sheet'!$H:$H))</x:f>
      </x:c>
      <x:c r="I206" s="14" t="str">
        <x:f>IF(OR(A206="",'02 Balance Sheet'!$B$2&lt;&gt;$A206),"",SUMIF('02 Balance Sheet'!$D:$D,"HKD",'02 Balance Sheet'!$H:$H))</x:f>
      </x:c>
      <x:c r="J206" s="12" t="str">
        <x:f>IF(A206="","",IF(COUNT(G206:I206)&lt;3,"Awaiting Month-End Snapshot",IF(OR(B206="",D206=""),"Awaiting Monthly Inputs","Ready to Close")))</x:f>
      </x:c>
      <x:c r="K206" s="22"/>
    </x:row>
    <x:row r="207" ht="19.5" customHeight="1">
      <x:c r="A207" s="25"/>
      <x:c r="B207" s="19"/>
      <x:c r="C207" s="19"/>
      <x:c r="D207" s="19"/>
      <x:c r="E207" s="19"/>
      <x:c r="F207" s="14" t="str">
        <x:f>IF(OR(A207="",B207="",D207=""),"",SUM(B207:C207)-N(D207)+N(E207))</x:f>
      </x:c>
      <x:c r="G207" s="14" t="str">
        <x:f>IF(OR(A207="",'02 Balance Sheet'!$B$2&lt;&gt;$A207),"",SUMIF('02 Balance Sheet'!$D:$D,"CNY",'02 Balance Sheet'!$H:$H))</x:f>
      </x:c>
      <x:c r="H207" s="14" t="str">
        <x:f>IF(OR(A207="",'02 Balance Sheet'!$B$2&lt;&gt;$A207),"",SUMIF('02 Balance Sheet'!$D:$D,"USD",'02 Balance Sheet'!$H:$H))</x:f>
      </x:c>
      <x:c r="I207" s="14" t="str">
        <x:f>IF(OR(A207="",'02 Balance Sheet'!$B$2&lt;&gt;$A207),"",SUMIF('02 Balance Sheet'!$D:$D,"HKD",'02 Balance Sheet'!$H:$H))</x:f>
      </x:c>
      <x:c r="J207" s="12" t="str">
        <x:f>IF(A207="","",IF(COUNT(G207:I207)&lt;3,"Awaiting Month-End Snapshot",IF(OR(B207="",D207=""),"Awaiting Monthly Inputs","Ready to Close")))</x:f>
      </x:c>
      <x:c r="K207" s="22"/>
    </x:row>
    <x:row r="208" ht="19.5" customHeight="1">
      <x:c r="A208" s="25"/>
      <x:c r="B208" s="19"/>
      <x:c r="C208" s="19"/>
      <x:c r="D208" s="19"/>
      <x:c r="E208" s="19"/>
      <x:c r="F208" s="14" t="str">
        <x:f>IF(OR(A208="",B208="",D208=""),"",SUM(B208:C208)-N(D208)+N(E208))</x:f>
      </x:c>
      <x:c r="G208" s="14" t="str">
        <x:f>IF(OR(A208="",'02 Balance Sheet'!$B$2&lt;&gt;$A208),"",SUMIF('02 Balance Sheet'!$D:$D,"CNY",'02 Balance Sheet'!$H:$H))</x:f>
      </x:c>
      <x:c r="H208" s="14" t="str">
        <x:f>IF(OR(A208="",'02 Balance Sheet'!$B$2&lt;&gt;$A208),"",SUMIF('02 Balance Sheet'!$D:$D,"USD",'02 Balance Sheet'!$H:$H))</x:f>
      </x:c>
      <x:c r="I208" s="14" t="str">
        <x:f>IF(OR(A208="",'02 Balance Sheet'!$B$2&lt;&gt;$A208),"",SUMIF('02 Balance Sheet'!$D:$D,"HKD",'02 Balance Sheet'!$H:$H))</x:f>
      </x:c>
      <x:c r="J208" s="12" t="str">
        <x:f>IF(A208="","",IF(COUNT(G208:I208)&lt;3,"Awaiting Month-End Snapshot",IF(OR(B208="",D208=""),"Awaiting Monthly Inputs","Ready to Close")))</x:f>
      </x:c>
      <x:c r="K208" s="22"/>
    </x:row>
    <x:row r="209" ht="19.5" customHeight="1">
      <x:c r="A209" s="25"/>
      <x:c r="B209" s="19"/>
      <x:c r="C209" s="19"/>
      <x:c r="D209" s="19"/>
      <x:c r="E209" s="19"/>
      <x:c r="F209" s="14" t="str">
        <x:f>IF(OR(A209="",B209="",D209=""),"",SUM(B209:C209)-N(D209)+N(E209))</x:f>
      </x:c>
      <x:c r="G209" s="14" t="str">
        <x:f>IF(OR(A209="",'02 Balance Sheet'!$B$2&lt;&gt;$A209),"",SUMIF('02 Balance Sheet'!$D:$D,"CNY",'02 Balance Sheet'!$H:$H))</x:f>
      </x:c>
      <x:c r="H209" s="14" t="str">
        <x:f>IF(OR(A209="",'02 Balance Sheet'!$B$2&lt;&gt;$A209),"",SUMIF('02 Balance Sheet'!$D:$D,"USD",'02 Balance Sheet'!$H:$H))</x:f>
      </x:c>
      <x:c r="I209" s="14" t="str">
        <x:f>IF(OR(A209="",'02 Balance Sheet'!$B$2&lt;&gt;$A209),"",SUMIF('02 Balance Sheet'!$D:$D,"HKD",'02 Balance Sheet'!$H:$H))</x:f>
      </x:c>
      <x:c r="J209" s="12" t="str">
        <x:f>IF(A209="","",IF(COUNT(G209:I209)&lt;3,"Awaiting Month-End Snapshot",IF(OR(B209="",D209=""),"Awaiting Monthly Inputs","Ready to Close")))</x:f>
      </x:c>
      <x:c r="K209" s="22"/>
    </x:row>
    <x:row r="210" ht="19.5" customHeight="1">
      <x:c r="A210" s="25"/>
      <x:c r="B210" s="19"/>
      <x:c r="C210" s="19"/>
      <x:c r="D210" s="19"/>
      <x:c r="E210" s="19"/>
      <x:c r="F210" s="14" t="str">
        <x:f>IF(OR(A210="",B210="",D210=""),"",SUM(B210:C210)-N(D210)+N(E210))</x:f>
      </x:c>
      <x:c r="G210" s="14" t="str">
        <x:f>IF(OR(A210="",'02 Balance Sheet'!$B$2&lt;&gt;$A210),"",SUMIF('02 Balance Sheet'!$D:$D,"CNY",'02 Balance Sheet'!$H:$H))</x:f>
      </x:c>
      <x:c r="H210" s="14" t="str">
        <x:f>IF(OR(A210="",'02 Balance Sheet'!$B$2&lt;&gt;$A210),"",SUMIF('02 Balance Sheet'!$D:$D,"USD",'02 Balance Sheet'!$H:$H))</x:f>
      </x:c>
      <x:c r="I210" s="14" t="str">
        <x:f>IF(OR(A210="",'02 Balance Sheet'!$B$2&lt;&gt;$A210),"",SUMIF('02 Balance Sheet'!$D:$D,"HKD",'02 Balance Sheet'!$H:$H))</x:f>
      </x:c>
      <x:c r="J210" s="12" t="str">
        <x:f>IF(A210="","",IF(COUNT(G210:I210)&lt;3,"Awaiting Month-End Snapshot",IF(OR(B210="",D210=""),"Awaiting Monthly Inputs","Ready to Close")))</x:f>
      </x:c>
      <x:c r="K210" s="22"/>
    </x:row>
    <x:row r="211" ht="19.5" customHeight="1">
      <x:c r="A211" s="25"/>
      <x:c r="B211" s="19"/>
      <x:c r="C211" s="19"/>
      <x:c r="D211" s="19"/>
      <x:c r="E211" s="19"/>
      <x:c r="F211" s="14" t="str">
        <x:f>IF(OR(A211="",B211="",D211=""),"",SUM(B211:C211)-N(D211)+N(E211))</x:f>
      </x:c>
      <x:c r="G211" s="14" t="str">
        <x:f>IF(OR(A211="",'02 Balance Sheet'!$B$2&lt;&gt;$A211),"",SUMIF('02 Balance Sheet'!$D:$D,"CNY",'02 Balance Sheet'!$H:$H))</x:f>
      </x:c>
      <x:c r="H211" s="14" t="str">
        <x:f>IF(OR(A211="",'02 Balance Sheet'!$B$2&lt;&gt;$A211),"",SUMIF('02 Balance Sheet'!$D:$D,"USD",'02 Balance Sheet'!$H:$H))</x:f>
      </x:c>
      <x:c r="I211" s="14" t="str">
        <x:f>IF(OR(A211="",'02 Balance Sheet'!$B$2&lt;&gt;$A211),"",SUMIF('02 Balance Sheet'!$D:$D,"HKD",'02 Balance Sheet'!$H:$H))</x:f>
      </x:c>
      <x:c r="J211" s="12" t="str">
        <x:f>IF(A211="","",IF(COUNT(G211:I211)&lt;3,"Awaiting Month-End Snapshot",IF(OR(B211="",D211=""),"Awaiting Monthly Inputs","Ready to Close")))</x:f>
      </x:c>
      <x:c r="K211" s="22"/>
    </x:row>
    <x:row r="212" ht="19.5" customHeight="1">
      <x:c r="A212" s="25"/>
      <x:c r="B212" s="19"/>
      <x:c r="C212" s="19"/>
      <x:c r="D212" s="19"/>
      <x:c r="E212" s="19"/>
      <x:c r="F212" s="14" t="str">
        <x:f>IF(OR(A212="",B212="",D212=""),"",SUM(B212:C212)-N(D212)+N(E212))</x:f>
      </x:c>
      <x:c r="G212" s="14" t="str">
        <x:f>IF(OR(A212="",'02 Balance Sheet'!$B$2&lt;&gt;$A212),"",SUMIF('02 Balance Sheet'!$D:$D,"CNY",'02 Balance Sheet'!$H:$H))</x:f>
      </x:c>
      <x:c r="H212" s="14" t="str">
        <x:f>IF(OR(A212="",'02 Balance Sheet'!$B$2&lt;&gt;$A212),"",SUMIF('02 Balance Sheet'!$D:$D,"USD",'02 Balance Sheet'!$H:$H))</x:f>
      </x:c>
      <x:c r="I212" s="14" t="str">
        <x:f>IF(OR(A212="",'02 Balance Sheet'!$B$2&lt;&gt;$A212),"",SUMIF('02 Balance Sheet'!$D:$D,"HKD",'02 Balance Sheet'!$H:$H))</x:f>
      </x:c>
      <x:c r="J212" s="12" t="str">
        <x:f>IF(A212="","",IF(COUNT(G212:I212)&lt;3,"Awaiting Month-End Snapshot",IF(OR(B212="",D212=""),"Awaiting Monthly Inputs","Ready to Close")))</x:f>
      </x:c>
      <x:c r="K212" s="22"/>
    </x:row>
    <x:row r="213" ht="19.5" customHeight="1">
      <x:c r="A213" s="25"/>
      <x:c r="B213" s="19"/>
      <x:c r="C213" s="19"/>
      <x:c r="D213" s="19"/>
      <x:c r="E213" s="19"/>
      <x:c r="F213" s="14" t="str">
        <x:f>IF(OR(A213="",B213="",D213=""),"",SUM(B213:C213)-N(D213)+N(E213))</x:f>
      </x:c>
      <x:c r="G213" s="14" t="str">
        <x:f>IF(OR(A213="",'02 Balance Sheet'!$B$2&lt;&gt;$A213),"",SUMIF('02 Balance Sheet'!$D:$D,"CNY",'02 Balance Sheet'!$H:$H))</x:f>
      </x:c>
      <x:c r="H213" s="14" t="str">
        <x:f>IF(OR(A213="",'02 Balance Sheet'!$B$2&lt;&gt;$A213),"",SUMIF('02 Balance Sheet'!$D:$D,"USD",'02 Balance Sheet'!$H:$H))</x:f>
      </x:c>
      <x:c r="I213" s="14" t="str">
        <x:f>IF(OR(A213="",'02 Balance Sheet'!$B$2&lt;&gt;$A213),"",SUMIF('02 Balance Sheet'!$D:$D,"HKD",'02 Balance Sheet'!$H:$H))</x:f>
      </x:c>
      <x:c r="J213" s="12" t="str">
        <x:f>IF(A213="","",IF(COUNT(G213:I213)&lt;3,"Awaiting Month-End Snapshot",IF(OR(B213="",D213=""),"Awaiting Monthly Inputs","Ready to Close")))</x:f>
      </x:c>
      <x:c r="K213" s="22"/>
    </x:row>
    <x:row r="214" ht="19.5" customHeight="1">
      <x:c r="A214" s="25"/>
      <x:c r="B214" s="19"/>
      <x:c r="C214" s="19"/>
      <x:c r="D214" s="19"/>
      <x:c r="E214" s="19"/>
      <x:c r="F214" s="14" t="str">
        <x:f>IF(OR(A214="",B214="",D214=""),"",SUM(B214:C214)-N(D214)+N(E214))</x:f>
      </x:c>
      <x:c r="G214" s="14" t="str">
        <x:f>IF(OR(A214="",'02 Balance Sheet'!$B$2&lt;&gt;$A214),"",SUMIF('02 Balance Sheet'!$D:$D,"CNY",'02 Balance Sheet'!$H:$H))</x:f>
      </x:c>
      <x:c r="H214" s="14" t="str">
        <x:f>IF(OR(A214="",'02 Balance Sheet'!$B$2&lt;&gt;$A214),"",SUMIF('02 Balance Sheet'!$D:$D,"USD",'02 Balance Sheet'!$H:$H))</x:f>
      </x:c>
      <x:c r="I214" s="14" t="str">
        <x:f>IF(OR(A214="",'02 Balance Sheet'!$B$2&lt;&gt;$A214),"",SUMIF('02 Balance Sheet'!$D:$D,"HKD",'02 Balance Sheet'!$H:$H))</x:f>
      </x:c>
      <x:c r="J214" s="12" t="str">
        <x:f>IF(A214="","",IF(COUNT(G214:I214)&lt;3,"Awaiting Month-End Snapshot",IF(OR(B214="",D214=""),"Awaiting Monthly Inputs","Ready to Close")))</x:f>
      </x:c>
      <x:c r="K214" s="22"/>
    </x:row>
    <x:row r="215" ht="19.5" customHeight="1">
      <x:c r="A215" s="25"/>
      <x:c r="B215" s="19"/>
      <x:c r="C215" s="19"/>
      <x:c r="D215" s="19"/>
      <x:c r="E215" s="19"/>
      <x:c r="F215" s="14" t="str">
        <x:f>IF(OR(A215="",B215="",D215=""),"",SUM(B215:C215)-N(D215)+N(E215))</x:f>
      </x:c>
      <x:c r="G215" s="14" t="str">
        <x:f>IF(OR(A215="",'02 Balance Sheet'!$B$2&lt;&gt;$A215),"",SUMIF('02 Balance Sheet'!$D:$D,"CNY",'02 Balance Sheet'!$H:$H))</x:f>
      </x:c>
      <x:c r="H215" s="14" t="str">
        <x:f>IF(OR(A215="",'02 Balance Sheet'!$B$2&lt;&gt;$A215),"",SUMIF('02 Balance Sheet'!$D:$D,"USD",'02 Balance Sheet'!$H:$H))</x:f>
      </x:c>
      <x:c r="I215" s="14" t="str">
        <x:f>IF(OR(A215="",'02 Balance Sheet'!$B$2&lt;&gt;$A215),"",SUMIF('02 Balance Sheet'!$D:$D,"HKD",'02 Balance Sheet'!$H:$H))</x:f>
      </x:c>
      <x:c r="J215" s="12" t="str">
        <x:f>IF(A215="","",IF(COUNT(G215:I215)&lt;3,"Awaiting Month-End Snapshot",IF(OR(B215="",D215=""),"Awaiting Monthly Inputs","Ready to Close")))</x:f>
      </x:c>
      <x:c r="K215" s="22"/>
    </x:row>
    <x:row r="216" ht="19.5" customHeight="1">
      <x:c r="A216" s="25"/>
      <x:c r="B216" s="19"/>
      <x:c r="C216" s="19"/>
      <x:c r="D216" s="19"/>
      <x:c r="E216" s="19"/>
      <x:c r="F216" s="14" t="str">
        <x:f>IF(OR(A216="",B216="",D216=""),"",SUM(B216:C216)-N(D216)+N(E216))</x:f>
      </x:c>
      <x:c r="G216" s="14" t="str">
        <x:f>IF(OR(A216="",'02 Balance Sheet'!$B$2&lt;&gt;$A216),"",SUMIF('02 Balance Sheet'!$D:$D,"CNY",'02 Balance Sheet'!$H:$H))</x:f>
      </x:c>
      <x:c r="H216" s="14" t="str">
        <x:f>IF(OR(A216="",'02 Balance Sheet'!$B$2&lt;&gt;$A216),"",SUMIF('02 Balance Sheet'!$D:$D,"USD",'02 Balance Sheet'!$H:$H))</x:f>
      </x:c>
      <x:c r="I216" s="14" t="str">
        <x:f>IF(OR(A216="",'02 Balance Sheet'!$B$2&lt;&gt;$A216),"",SUMIF('02 Balance Sheet'!$D:$D,"HKD",'02 Balance Sheet'!$H:$H))</x:f>
      </x:c>
      <x:c r="J216" s="12" t="str">
        <x:f>IF(A216="","",IF(COUNT(G216:I216)&lt;3,"Awaiting Month-End Snapshot",IF(OR(B216="",D216=""),"Awaiting Monthly Inputs","Ready to Close")))</x:f>
      </x:c>
      <x:c r="K216" s="22"/>
    </x:row>
    <x:row r="217" ht="19.5" customHeight="1">
      <x:c r="A217" s="25"/>
      <x:c r="B217" s="19"/>
      <x:c r="C217" s="19"/>
      <x:c r="D217" s="19"/>
      <x:c r="E217" s="19"/>
      <x:c r="F217" s="14" t="str">
        <x:f>IF(OR(A217="",B217="",D217=""),"",SUM(B217:C217)-N(D217)+N(E217))</x:f>
      </x:c>
      <x:c r="G217" s="14" t="str">
        <x:f>IF(OR(A217="",'02 Balance Sheet'!$B$2&lt;&gt;$A217),"",SUMIF('02 Balance Sheet'!$D:$D,"CNY",'02 Balance Sheet'!$H:$H))</x:f>
      </x:c>
      <x:c r="H217" s="14" t="str">
        <x:f>IF(OR(A217="",'02 Balance Sheet'!$B$2&lt;&gt;$A217),"",SUMIF('02 Balance Sheet'!$D:$D,"USD",'02 Balance Sheet'!$H:$H))</x:f>
      </x:c>
      <x:c r="I217" s="14" t="str">
        <x:f>IF(OR(A217="",'02 Balance Sheet'!$B$2&lt;&gt;$A217),"",SUMIF('02 Balance Sheet'!$D:$D,"HKD",'02 Balance Sheet'!$H:$H))</x:f>
      </x:c>
      <x:c r="J217" s="12" t="str">
        <x:f>IF(A217="","",IF(COUNT(G217:I217)&lt;3,"Awaiting Month-End Snapshot",IF(OR(B217="",D217=""),"Awaiting Monthly Inputs","Ready to Close")))</x:f>
      </x:c>
      <x:c r="K217" s="22"/>
    </x:row>
    <x:row r="218" ht="19.5" customHeight="1">
      <x:c r="A218" s="25"/>
      <x:c r="B218" s="19"/>
      <x:c r="C218" s="19"/>
      <x:c r="D218" s="19"/>
      <x:c r="E218" s="19"/>
      <x:c r="F218" s="14" t="str">
        <x:f>IF(OR(A218="",B218="",D218=""),"",SUM(B218:C218)-N(D218)+N(E218))</x:f>
      </x:c>
      <x:c r="G218" s="14" t="str">
        <x:f>IF(OR(A218="",'02 Balance Sheet'!$B$2&lt;&gt;$A218),"",SUMIF('02 Balance Sheet'!$D:$D,"CNY",'02 Balance Sheet'!$H:$H))</x:f>
      </x:c>
      <x:c r="H218" s="14" t="str">
        <x:f>IF(OR(A218="",'02 Balance Sheet'!$B$2&lt;&gt;$A218),"",SUMIF('02 Balance Sheet'!$D:$D,"USD",'02 Balance Sheet'!$H:$H))</x:f>
      </x:c>
      <x:c r="I218" s="14" t="str">
        <x:f>IF(OR(A218="",'02 Balance Sheet'!$B$2&lt;&gt;$A218),"",SUMIF('02 Balance Sheet'!$D:$D,"HKD",'02 Balance Sheet'!$H:$H))</x:f>
      </x:c>
      <x:c r="J218" s="12" t="str">
        <x:f>IF(A218="","",IF(COUNT(G218:I218)&lt;3,"Awaiting Month-End Snapshot",IF(OR(B218="",D218=""),"Awaiting Monthly Inputs","Ready to Close")))</x:f>
      </x:c>
      <x:c r="K218" s="22"/>
    </x:row>
    <x:row r="219" ht="19.5" customHeight="1">
      <x:c r="A219" s="25"/>
      <x:c r="B219" s="19"/>
      <x:c r="C219" s="19"/>
      <x:c r="D219" s="19"/>
      <x:c r="E219" s="19"/>
      <x:c r="F219" s="14" t="str">
        <x:f>IF(OR(A219="",B219="",D219=""),"",SUM(B219:C219)-N(D219)+N(E219))</x:f>
      </x:c>
      <x:c r="G219" s="14" t="str">
        <x:f>IF(OR(A219="",'02 Balance Sheet'!$B$2&lt;&gt;$A219),"",SUMIF('02 Balance Sheet'!$D:$D,"CNY",'02 Balance Sheet'!$H:$H))</x:f>
      </x:c>
      <x:c r="H219" s="14" t="str">
        <x:f>IF(OR(A219="",'02 Balance Sheet'!$B$2&lt;&gt;$A219),"",SUMIF('02 Balance Sheet'!$D:$D,"USD",'02 Balance Sheet'!$H:$H))</x:f>
      </x:c>
      <x:c r="I219" s="14" t="str">
        <x:f>IF(OR(A219="",'02 Balance Sheet'!$B$2&lt;&gt;$A219),"",SUMIF('02 Balance Sheet'!$D:$D,"HKD",'02 Balance Sheet'!$H:$H))</x:f>
      </x:c>
      <x:c r="J219" s="12" t="str">
        <x:f>IF(A219="","",IF(COUNT(G219:I219)&lt;3,"Awaiting Month-End Snapshot",IF(OR(B219="",D219=""),"Awaiting Monthly Inputs","Ready to Close")))</x:f>
      </x:c>
      <x:c r="K219" s="22"/>
    </x:row>
    <x:row r="220" ht="19.5" customHeight="1">
      <x:c r="A220" s="25"/>
      <x:c r="B220" s="19"/>
      <x:c r="C220" s="19"/>
      <x:c r="D220" s="19"/>
      <x:c r="E220" s="19"/>
      <x:c r="F220" s="14" t="str">
        <x:f>IF(OR(A220="",B220="",D220=""),"",SUM(B220:C220)-N(D220)+N(E220))</x:f>
      </x:c>
      <x:c r="G220" s="14" t="str">
        <x:f>IF(OR(A220="",'02 Balance Sheet'!$B$2&lt;&gt;$A220),"",SUMIF('02 Balance Sheet'!$D:$D,"CNY",'02 Balance Sheet'!$H:$H))</x:f>
      </x:c>
      <x:c r="H220" s="14" t="str">
        <x:f>IF(OR(A220="",'02 Balance Sheet'!$B$2&lt;&gt;$A220),"",SUMIF('02 Balance Sheet'!$D:$D,"USD",'02 Balance Sheet'!$H:$H))</x:f>
      </x:c>
      <x:c r="I220" s="14" t="str">
        <x:f>IF(OR(A220="",'02 Balance Sheet'!$B$2&lt;&gt;$A220),"",SUMIF('02 Balance Sheet'!$D:$D,"HKD",'02 Balance Sheet'!$H:$H))</x:f>
      </x:c>
      <x:c r="J220" s="12" t="str">
        <x:f>IF(A220="","",IF(COUNT(G220:I220)&lt;3,"Awaiting Month-End Snapshot",IF(OR(B220="",D220=""),"Awaiting Monthly Inputs","Ready to Close")))</x:f>
      </x:c>
      <x:c r="K220" s="22"/>
    </x:row>
    <x:row r="221" ht="19.5" customHeight="1">
      <x:c r="A221" s="25"/>
      <x:c r="B221" s="19"/>
      <x:c r="C221" s="19"/>
      <x:c r="D221" s="19"/>
      <x:c r="E221" s="19"/>
      <x:c r="F221" s="14" t="str">
        <x:f>IF(OR(A221="",B221="",D221=""),"",SUM(B221:C221)-N(D221)+N(E221))</x:f>
      </x:c>
      <x:c r="G221" s="14" t="str">
        <x:f>IF(OR(A221="",'02 Balance Sheet'!$B$2&lt;&gt;$A221),"",SUMIF('02 Balance Sheet'!$D:$D,"CNY",'02 Balance Sheet'!$H:$H))</x:f>
      </x:c>
      <x:c r="H221" s="14" t="str">
        <x:f>IF(OR(A221="",'02 Balance Sheet'!$B$2&lt;&gt;$A221),"",SUMIF('02 Balance Sheet'!$D:$D,"USD",'02 Balance Sheet'!$H:$H))</x:f>
      </x:c>
      <x:c r="I221" s="14" t="str">
        <x:f>IF(OR(A221="",'02 Balance Sheet'!$B$2&lt;&gt;$A221),"",SUMIF('02 Balance Sheet'!$D:$D,"HKD",'02 Balance Sheet'!$H:$H))</x:f>
      </x:c>
      <x:c r="J221" s="12" t="str">
        <x:f>IF(A221="","",IF(COUNT(G221:I221)&lt;3,"Awaiting Month-End Snapshot",IF(OR(B221="",D221=""),"Awaiting Monthly Inputs","Ready to Close")))</x:f>
      </x:c>
      <x:c r="K221" s="22"/>
    </x:row>
    <x:row r="222" ht="19.5" customHeight="1">
      <x:c r="A222" s="25"/>
      <x:c r="B222" s="19"/>
      <x:c r="C222" s="19"/>
      <x:c r="D222" s="19"/>
      <x:c r="E222" s="19"/>
      <x:c r="F222" s="14" t="str">
        <x:f>IF(OR(A222="",B222="",D222=""),"",SUM(B222:C222)-N(D222)+N(E222))</x:f>
      </x:c>
      <x:c r="G222" s="14" t="str">
        <x:f>IF(OR(A222="",'02 Balance Sheet'!$B$2&lt;&gt;$A222),"",SUMIF('02 Balance Sheet'!$D:$D,"CNY",'02 Balance Sheet'!$H:$H))</x:f>
      </x:c>
      <x:c r="H222" s="14" t="str">
        <x:f>IF(OR(A222="",'02 Balance Sheet'!$B$2&lt;&gt;$A222),"",SUMIF('02 Balance Sheet'!$D:$D,"USD",'02 Balance Sheet'!$H:$H))</x:f>
      </x:c>
      <x:c r="I222" s="14" t="str">
        <x:f>IF(OR(A222="",'02 Balance Sheet'!$B$2&lt;&gt;$A222),"",SUMIF('02 Balance Sheet'!$D:$D,"HKD",'02 Balance Sheet'!$H:$H))</x:f>
      </x:c>
      <x:c r="J222" s="12" t="str">
        <x:f>IF(A222="","",IF(COUNT(G222:I222)&lt;3,"Awaiting Month-End Snapshot",IF(OR(B222="",D222=""),"Awaiting Monthly Inputs","Ready to Close")))</x:f>
      </x:c>
      <x:c r="K222" s="22"/>
    </x:row>
    <x:row r="223" ht="19.5" customHeight="1">
      <x:c r="A223" s="25"/>
      <x:c r="B223" s="19"/>
      <x:c r="C223" s="19"/>
      <x:c r="D223" s="19"/>
      <x:c r="E223" s="19"/>
      <x:c r="F223" s="14" t="str">
        <x:f>IF(OR(A223="",B223="",D223=""),"",SUM(B223:C223)-N(D223)+N(E223))</x:f>
      </x:c>
      <x:c r="G223" s="14" t="str">
        <x:f>IF(OR(A223="",'02 Balance Sheet'!$B$2&lt;&gt;$A223),"",SUMIF('02 Balance Sheet'!$D:$D,"CNY",'02 Balance Sheet'!$H:$H))</x:f>
      </x:c>
      <x:c r="H223" s="14" t="str">
        <x:f>IF(OR(A223="",'02 Balance Sheet'!$B$2&lt;&gt;$A223),"",SUMIF('02 Balance Sheet'!$D:$D,"USD",'02 Balance Sheet'!$H:$H))</x:f>
      </x:c>
      <x:c r="I223" s="14" t="str">
        <x:f>IF(OR(A223="",'02 Balance Sheet'!$B$2&lt;&gt;$A223),"",SUMIF('02 Balance Sheet'!$D:$D,"HKD",'02 Balance Sheet'!$H:$H))</x:f>
      </x:c>
      <x:c r="J223" s="12" t="str">
        <x:f>IF(A223="","",IF(COUNT(G223:I223)&lt;3,"Awaiting Month-End Snapshot",IF(OR(B223="",D223=""),"Awaiting Monthly Inputs","Ready to Close")))</x:f>
      </x:c>
      <x:c r="K223" s="22"/>
    </x:row>
    <x:row r="224" ht="19.5" customHeight="1">
      <x:c r="A224" s="25"/>
      <x:c r="B224" s="19"/>
      <x:c r="C224" s="19"/>
      <x:c r="D224" s="19"/>
      <x:c r="E224" s="19"/>
      <x:c r="F224" s="14" t="str">
        <x:f>IF(OR(A224="",B224="",D224=""),"",SUM(B224:C224)-N(D224)+N(E224))</x:f>
      </x:c>
      <x:c r="G224" s="14" t="str">
        <x:f>IF(OR(A224="",'02 Balance Sheet'!$B$2&lt;&gt;$A224),"",SUMIF('02 Balance Sheet'!$D:$D,"CNY",'02 Balance Sheet'!$H:$H))</x:f>
      </x:c>
      <x:c r="H224" s="14" t="str">
        <x:f>IF(OR(A224="",'02 Balance Sheet'!$B$2&lt;&gt;$A224),"",SUMIF('02 Balance Sheet'!$D:$D,"USD",'02 Balance Sheet'!$H:$H))</x:f>
      </x:c>
      <x:c r="I224" s="14" t="str">
        <x:f>IF(OR(A224="",'02 Balance Sheet'!$B$2&lt;&gt;$A224),"",SUMIF('02 Balance Sheet'!$D:$D,"HKD",'02 Balance Sheet'!$H:$H))</x:f>
      </x:c>
      <x:c r="J224" s="12" t="str">
        <x:f>IF(A224="","",IF(COUNT(G224:I224)&lt;3,"Awaiting Month-End Snapshot",IF(OR(B224="",D224=""),"Awaiting Monthly Inputs","Ready to Close")))</x:f>
      </x:c>
      <x:c r="K224" s="22"/>
    </x:row>
    <x:row r="225" ht="19.5" customHeight="1">
      <x:c r="A225" s="25"/>
      <x:c r="B225" s="19"/>
      <x:c r="C225" s="19"/>
      <x:c r="D225" s="19"/>
      <x:c r="E225" s="19"/>
      <x:c r="F225" s="14" t="str">
        <x:f>IF(OR(A225="",B225="",D225=""),"",SUM(B225:C225)-N(D225)+N(E225))</x:f>
      </x:c>
      <x:c r="G225" s="14" t="str">
        <x:f>IF(OR(A225="",'02 Balance Sheet'!$B$2&lt;&gt;$A225),"",SUMIF('02 Balance Sheet'!$D:$D,"CNY",'02 Balance Sheet'!$H:$H))</x:f>
      </x:c>
      <x:c r="H225" s="14" t="str">
        <x:f>IF(OR(A225="",'02 Balance Sheet'!$B$2&lt;&gt;$A225),"",SUMIF('02 Balance Sheet'!$D:$D,"USD",'02 Balance Sheet'!$H:$H))</x:f>
      </x:c>
      <x:c r="I225" s="14" t="str">
        <x:f>IF(OR(A225="",'02 Balance Sheet'!$B$2&lt;&gt;$A225),"",SUMIF('02 Balance Sheet'!$D:$D,"HKD",'02 Balance Sheet'!$H:$H))</x:f>
      </x:c>
      <x:c r="J225" s="12" t="str">
        <x:f>IF(A225="","",IF(COUNT(G225:I225)&lt;3,"Awaiting Month-End Snapshot",IF(OR(B225="",D225=""),"Awaiting Monthly Inputs","Ready to Close")))</x:f>
      </x:c>
      <x:c r="K225" s="22"/>
    </x:row>
    <x:row r="226" ht="19.5" customHeight="1">
      <x:c r="A226" s="25"/>
      <x:c r="B226" s="19"/>
      <x:c r="C226" s="19"/>
      <x:c r="D226" s="19"/>
      <x:c r="E226" s="19"/>
      <x:c r="F226" s="14" t="str">
        <x:f>IF(OR(A226="",B226="",D226=""),"",SUM(B226:C226)-N(D226)+N(E226))</x:f>
      </x:c>
      <x:c r="G226" s="14" t="str">
        <x:f>IF(OR(A226="",'02 Balance Sheet'!$B$2&lt;&gt;$A226),"",SUMIF('02 Balance Sheet'!$D:$D,"CNY",'02 Balance Sheet'!$H:$H))</x:f>
      </x:c>
      <x:c r="H226" s="14" t="str">
        <x:f>IF(OR(A226="",'02 Balance Sheet'!$B$2&lt;&gt;$A226),"",SUMIF('02 Balance Sheet'!$D:$D,"USD",'02 Balance Sheet'!$H:$H))</x:f>
      </x:c>
      <x:c r="I226" s="14" t="str">
        <x:f>IF(OR(A226="",'02 Balance Sheet'!$B$2&lt;&gt;$A226),"",SUMIF('02 Balance Sheet'!$D:$D,"HKD",'02 Balance Sheet'!$H:$H))</x:f>
      </x:c>
      <x:c r="J226" s="12" t="str">
        <x:f>IF(A226="","",IF(COUNT(G226:I226)&lt;3,"Awaiting Month-End Snapshot",IF(OR(B226="",D226=""),"Awaiting Monthly Inputs","Ready to Close")))</x:f>
      </x:c>
      <x:c r="K226" s="22"/>
    </x:row>
    <x:row r="227" ht="19.5" customHeight="1">
      <x:c r="A227" s="25"/>
      <x:c r="B227" s="19"/>
      <x:c r="C227" s="19"/>
      <x:c r="D227" s="19"/>
      <x:c r="E227" s="19"/>
      <x:c r="F227" s="14" t="str">
        <x:f>IF(OR(A227="",B227="",D227=""),"",SUM(B227:C227)-N(D227)+N(E227))</x:f>
      </x:c>
      <x:c r="G227" s="14" t="str">
        <x:f>IF(OR(A227="",'02 Balance Sheet'!$B$2&lt;&gt;$A227),"",SUMIF('02 Balance Sheet'!$D:$D,"CNY",'02 Balance Sheet'!$H:$H))</x:f>
      </x:c>
      <x:c r="H227" s="14" t="str">
        <x:f>IF(OR(A227="",'02 Balance Sheet'!$B$2&lt;&gt;$A227),"",SUMIF('02 Balance Sheet'!$D:$D,"USD",'02 Balance Sheet'!$H:$H))</x:f>
      </x:c>
      <x:c r="I227" s="14" t="str">
        <x:f>IF(OR(A227="",'02 Balance Sheet'!$B$2&lt;&gt;$A227),"",SUMIF('02 Balance Sheet'!$D:$D,"HKD",'02 Balance Sheet'!$H:$H))</x:f>
      </x:c>
      <x:c r="J227" s="12" t="str">
        <x:f>IF(A227="","",IF(COUNT(G227:I227)&lt;3,"Awaiting Month-End Snapshot",IF(OR(B227="",D227=""),"Awaiting Monthly Inputs","Ready to Close")))</x:f>
      </x:c>
      <x:c r="K227" s="22"/>
    </x:row>
    <x:row r="228" ht="19.5" customHeight="1">
      <x:c r="A228" s="25"/>
      <x:c r="B228" s="19"/>
      <x:c r="C228" s="19"/>
      <x:c r="D228" s="19"/>
      <x:c r="E228" s="19"/>
      <x:c r="F228" s="14" t="str">
        <x:f>IF(OR(A228="",B228="",D228=""),"",SUM(B228:C228)-N(D228)+N(E228))</x:f>
      </x:c>
      <x:c r="G228" s="14" t="str">
        <x:f>IF(OR(A228="",'02 Balance Sheet'!$B$2&lt;&gt;$A228),"",SUMIF('02 Balance Sheet'!$D:$D,"CNY",'02 Balance Sheet'!$H:$H))</x:f>
      </x:c>
      <x:c r="H228" s="14" t="str">
        <x:f>IF(OR(A228="",'02 Balance Sheet'!$B$2&lt;&gt;$A228),"",SUMIF('02 Balance Sheet'!$D:$D,"USD",'02 Balance Sheet'!$H:$H))</x:f>
      </x:c>
      <x:c r="I228" s="14" t="str">
        <x:f>IF(OR(A228="",'02 Balance Sheet'!$B$2&lt;&gt;$A228),"",SUMIF('02 Balance Sheet'!$D:$D,"HKD",'02 Balance Sheet'!$H:$H))</x:f>
      </x:c>
      <x:c r="J228" s="12" t="str">
        <x:f>IF(A228="","",IF(COUNT(G228:I228)&lt;3,"Awaiting Month-End Snapshot",IF(OR(B228="",D228=""),"Awaiting Monthly Inputs","Ready to Close")))</x:f>
      </x:c>
      <x:c r="K228" s="22"/>
    </x:row>
    <x:row r="229" ht="19.5" customHeight="1">
      <x:c r="A229" s="25"/>
      <x:c r="B229" s="19"/>
      <x:c r="C229" s="19"/>
      <x:c r="D229" s="19"/>
      <x:c r="E229" s="19"/>
      <x:c r="F229" s="14" t="str">
        <x:f>IF(OR(A229="",B229="",D229=""),"",SUM(B229:C229)-N(D229)+N(E229))</x:f>
      </x:c>
      <x:c r="G229" s="14" t="str">
        <x:f>IF(OR(A229="",'02 Balance Sheet'!$B$2&lt;&gt;$A229),"",SUMIF('02 Balance Sheet'!$D:$D,"CNY",'02 Balance Sheet'!$H:$H))</x:f>
      </x:c>
      <x:c r="H229" s="14" t="str">
        <x:f>IF(OR(A229="",'02 Balance Sheet'!$B$2&lt;&gt;$A229),"",SUMIF('02 Balance Sheet'!$D:$D,"USD",'02 Balance Sheet'!$H:$H))</x:f>
      </x:c>
      <x:c r="I229" s="14" t="str">
        <x:f>IF(OR(A229="",'02 Balance Sheet'!$B$2&lt;&gt;$A229),"",SUMIF('02 Balance Sheet'!$D:$D,"HKD",'02 Balance Sheet'!$H:$H))</x:f>
      </x:c>
      <x:c r="J229" s="12" t="str">
        <x:f>IF(A229="","",IF(COUNT(G229:I229)&lt;3,"Awaiting Month-End Snapshot",IF(OR(B229="",D229=""),"Awaiting Monthly Inputs","Ready to Close")))</x:f>
      </x:c>
      <x:c r="K229" s="22"/>
    </x:row>
    <x:row r="230" ht="19.5" customHeight="1">
      <x:c r="A230" s="25"/>
      <x:c r="B230" s="19"/>
      <x:c r="C230" s="19"/>
      <x:c r="D230" s="19"/>
      <x:c r="E230" s="19"/>
      <x:c r="F230" s="14" t="str">
        <x:f>IF(OR(A230="",B230="",D230=""),"",SUM(B230:C230)-N(D230)+N(E230))</x:f>
      </x:c>
      <x:c r="G230" s="14" t="str">
        <x:f>IF(OR(A230="",'02 Balance Sheet'!$B$2&lt;&gt;$A230),"",SUMIF('02 Balance Sheet'!$D:$D,"CNY",'02 Balance Sheet'!$H:$H))</x:f>
      </x:c>
      <x:c r="H230" s="14" t="str">
        <x:f>IF(OR(A230="",'02 Balance Sheet'!$B$2&lt;&gt;$A230),"",SUMIF('02 Balance Sheet'!$D:$D,"USD",'02 Balance Sheet'!$H:$H))</x:f>
      </x:c>
      <x:c r="I230" s="14" t="str">
        <x:f>IF(OR(A230="",'02 Balance Sheet'!$B$2&lt;&gt;$A230),"",SUMIF('02 Balance Sheet'!$D:$D,"HKD",'02 Balance Sheet'!$H:$H))</x:f>
      </x:c>
      <x:c r="J230" s="12" t="str">
        <x:f>IF(A230="","",IF(COUNT(G230:I230)&lt;3,"Awaiting Month-End Snapshot",IF(OR(B230="",D230=""),"Awaiting Monthly Inputs","Ready to Close")))</x:f>
      </x:c>
      <x:c r="K230" s="22"/>
    </x:row>
    <x:row r="231" ht="19.5" customHeight="1">
      <x:c r="A231" s="25"/>
      <x:c r="B231" s="19"/>
      <x:c r="C231" s="19"/>
      <x:c r="D231" s="19"/>
      <x:c r="E231" s="19"/>
      <x:c r="F231" s="14" t="str">
        <x:f>IF(OR(A231="",B231="",D231=""),"",SUM(B231:C231)-N(D231)+N(E231))</x:f>
      </x:c>
      <x:c r="G231" s="14" t="str">
        <x:f>IF(OR(A231="",'02 Balance Sheet'!$B$2&lt;&gt;$A231),"",SUMIF('02 Balance Sheet'!$D:$D,"CNY",'02 Balance Sheet'!$H:$H))</x:f>
      </x:c>
      <x:c r="H231" s="14" t="str">
        <x:f>IF(OR(A231="",'02 Balance Sheet'!$B$2&lt;&gt;$A231),"",SUMIF('02 Balance Sheet'!$D:$D,"USD",'02 Balance Sheet'!$H:$H))</x:f>
      </x:c>
      <x:c r="I231" s="14" t="str">
        <x:f>IF(OR(A231="",'02 Balance Sheet'!$B$2&lt;&gt;$A231),"",SUMIF('02 Balance Sheet'!$D:$D,"HKD",'02 Balance Sheet'!$H:$H))</x:f>
      </x:c>
      <x:c r="J231" s="12" t="str">
        <x:f>IF(A231="","",IF(COUNT(G231:I231)&lt;3,"Awaiting Month-End Snapshot",IF(OR(B231="",D231=""),"Awaiting Monthly Inputs","Ready to Close")))</x:f>
      </x:c>
      <x:c r="K231" s="22"/>
    </x:row>
    <x:row r="232" ht="19.5" customHeight="1">
      <x:c r="A232" s="25"/>
      <x:c r="B232" s="19"/>
      <x:c r="C232" s="19"/>
      <x:c r="D232" s="19"/>
      <x:c r="E232" s="19"/>
      <x:c r="F232" s="14" t="str">
        <x:f>IF(OR(A232="",B232="",D232=""),"",SUM(B232:C232)-N(D232)+N(E232))</x:f>
      </x:c>
      <x:c r="G232" s="14" t="str">
        <x:f>IF(OR(A232="",'02 Balance Sheet'!$B$2&lt;&gt;$A232),"",SUMIF('02 Balance Sheet'!$D:$D,"CNY",'02 Balance Sheet'!$H:$H))</x:f>
      </x:c>
      <x:c r="H232" s="14" t="str">
        <x:f>IF(OR(A232="",'02 Balance Sheet'!$B$2&lt;&gt;$A232),"",SUMIF('02 Balance Sheet'!$D:$D,"USD",'02 Balance Sheet'!$H:$H))</x:f>
      </x:c>
      <x:c r="I232" s="14" t="str">
        <x:f>IF(OR(A232="",'02 Balance Sheet'!$B$2&lt;&gt;$A232),"",SUMIF('02 Balance Sheet'!$D:$D,"HKD",'02 Balance Sheet'!$H:$H))</x:f>
      </x:c>
      <x:c r="J232" s="12" t="str">
        <x:f>IF(A232="","",IF(COUNT(G232:I232)&lt;3,"Awaiting Month-End Snapshot",IF(OR(B232="",D232=""),"Awaiting Monthly Inputs","Ready to Close")))</x:f>
      </x:c>
      <x:c r="K232" s="22"/>
    </x:row>
    <x:row r="233" ht="19.5" customHeight="1">
      <x:c r="A233" s="25"/>
      <x:c r="B233" s="19"/>
      <x:c r="C233" s="19"/>
      <x:c r="D233" s="19"/>
      <x:c r="E233" s="19"/>
      <x:c r="F233" s="14" t="str">
        <x:f>IF(OR(A233="",B233="",D233=""),"",SUM(B233:C233)-N(D233)+N(E233))</x:f>
      </x:c>
      <x:c r="G233" s="14" t="str">
        <x:f>IF(OR(A233="",'02 Balance Sheet'!$B$2&lt;&gt;$A233),"",SUMIF('02 Balance Sheet'!$D:$D,"CNY",'02 Balance Sheet'!$H:$H))</x:f>
      </x:c>
      <x:c r="H233" s="14" t="str">
        <x:f>IF(OR(A233="",'02 Balance Sheet'!$B$2&lt;&gt;$A233),"",SUMIF('02 Balance Sheet'!$D:$D,"USD",'02 Balance Sheet'!$H:$H))</x:f>
      </x:c>
      <x:c r="I233" s="14" t="str">
        <x:f>IF(OR(A233="",'02 Balance Sheet'!$B$2&lt;&gt;$A233),"",SUMIF('02 Balance Sheet'!$D:$D,"HKD",'02 Balance Sheet'!$H:$H))</x:f>
      </x:c>
      <x:c r="J233" s="12" t="str">
        <x:f>IF(A233="","",IF(COUNT(G233:I233)&lt;3,"Awaiting Month-End Snapshot",IF(OR(B233="",D233=""),"Awaiting Monthly Inputs","Ready to Close")))</x:f>
      </x:c>
      <x:c r="K233" s="22"/>
    </x:row>
    <x:row r="234" ht="19.5" customHeight="1">
      <x:c r="A234" s="25"/>
      <x:c r="B234" s="19"/>
      <x:c r="C234" s="19"/>
      <x:c r="D234" s="19"/>
      <x:c r="E234" s="19"/>
      <x:c r="F234" s="14" t="str">
        <x:f>IF(OR(A234="",B234="",D234=""),"",SUM(B234:C234)-N(D234)+N(E234))</x:f>
      </x:c>
      <x:c r="G234" s="14" t="str">
        <x:f>IF(OR(A234="",'02 Balance Sheet'!$B$2&lt;&gt;$A234),"",SUMIF('02 Balance Sheet'!$D:$D,"CNY",'02 Balance Sheet'!$H:$H))</x:f>
      </x:c>
      <x:c r="H234" s="14" t="str">
        <x:f>IF(OR(A234="",'02 Balance Sheet'!$B$2&lt;&gt;$A234),"",SUMIF('02 Balance Sheet'!$D:$D,"USD",'02 Balance Sheet'!$H:$H))</x:f>
      </x:c>
      <x:c r="I234" s="14" t="str">
        <x:f>IF(OR(A234="",'02 Balance Sheet'!$B$2&lt;&gt;$A234),"",SUMIF('02 Balance Sheet'!$D:$D,"HKD",'02 Balance Sheet'!$H:$H))</x:f>
      </x:c>
      <x:c r="J234" s="12" t="str">
        <x:f>IF(A234="","",IF(COUNT(G234:I234)&lt;3,"Awaiting Month-End Snapshot",IF(OR(B234="",D234=""),"Awaiting Monthly Inputs","Ready to Close")))</x:f>
      </x:c>
      <x:c r="K234" s="22"/>
    </x:row>
    <x:row r="235" ht="19.5" customHeight="1">
      <x:c r="A235" s="25"/>
      <x:c r="B235" s="19"/>
      <x:c r="C235" s="19"/>
      <x:c r="D235" s="19"/>
      <x:c r="E235" s="19"/>
      <x:c r="F235" s="14" t="str">
        <x:f>IF(OR(A235="",B235="",D235=""),"",SUM(B235:C235)-N(D235)+N(E235))</x:f>
      </x:c>
      <x:c r="G235" s="14" t="str">
        <x:f>IF(OR(A235="",'02 Balance Sheet'!$B$2&lt;&gt;$A235),"",SUMIF('02 Balance Sheet'!$D:$D,"CNY",'02 Balance Sheet'!$H:$H))</x:f>
      </x:c>
      <x:c r="H235" s="14" t="str">
        <x:f>IF(OR(A235="",'02 Balance Sheet'!$B$2&lt;&gt;$A235),"",SUMIF('02 Balance Sheet'!$D:$D,"USD",'02 Balance Sheet'!$H:$H))</x:f>
      </x:c>
      <x:c r="I235" s="14" t="str">
        <x:f>IF(OR(A235="",'02 Balance Sheet'!$B$2&lt;&gt;$A235),"",SUMIF('02 Balance Sheet'!$D:$D,"HKD",'02 Balance Sheet'!$H:$H))</x:f>
      </x:c>
      <x:c r="J235" s="12" t="str">
        <x:f>IF(A235="","",IF(COUNT(G235:I235)&lt;3,"Awaiting Month-End Snapshot",IF(OR(B235="",D235=""),"Awaiting Monthly Inputs","Ready to Close")))</x:f>
      </x:c>
      <x:c r="K235" s="22"/>
    </x:row>
    <x:row r="236" ht="19.5" customHeight="1">
      <x:c r="A236" s="25"/>
      <x:c r="B236" s="19"/>
      <x:c r="C236" s="19"/>
      <x:c r="D236" s="19"/>
      <x:c r="E236" s="19"/>
      <x:c r="F236" s="14" t="str">
        <x:f>IF(OR(A236="",B236="",D236=""),"",SUM(B236:C236)-N(D236)+N(E236))</x:f>
      </x:c>
      <x:c r="G236" s="14" t="str">
        <x:f>IF(OR(A236="",'02 Balance Sheet'!$B$2&lt;&gt;$A236),"",SUMIF('02 Balance Sheet'!$D:$D,"CNY",'02 Balance Sheet'!$H:$H))</x:f>
      </x:c>
      <x:c r="H236" s="14" t="str">
        <x:f>IF(OR(A236="",'02 Balance Sheet'!$B$2&lt;&gt;$A236),"",SUMIF('02 Balance Sheet'!$D:$D,"USD",'02 Balance Sheet'!$H:$H))</x:f>
      </x:c>
      <x:c r="I236" s="14" t="str">
        <x:f>IF(OR(A236="",'02 Balance Sheet'!$B$2&lt;&gt;$A236),"",SUMIF('02 Balance Sheet'!$D:$D,"HKD",'02 Balance Sheet'!$H:$H))</x:f>
      </x:c>
      <x:c r="J236" s="12" t="str">
        <x:f>IF(A236="","",IF(COUNT(G236:I236)&lt;3,"Awaiting Month-End Snapshot",IF(OR(B236="",D236=""),"Awaiting Monthly Inputs","Ready to Close")))</x:f>
      </x:c>
      <x:c r="K236" s="22"/>
    </x:row>
    <x:row r="237" ht="19.5" customHeight="1">
      <x:c r="A237" s="25"/>
      <x:c r="B237" s="19"/>
      <x:c r="C237" s="19"/>
      <x:c r="D237" s="19"/>
      <x:c r="E237" s="19"/>
      <x:c r="F237" s="14" t="str">
        <x:f>IF(OR(A237="",B237="",D237=""),"",SUM(B237:C237)-N(D237)+N(E237))</x:f>
      </x:c>
      <x:c r="G237" s="14" t="str">
        <x:f>IF(OR(A237="",'02 Balance Sheet'!$B$2&lt;&gt;$A237),"",SUMIF('02 Balance Sheet'!$D:$D,"CNY",'02 Balance Sheet'!$H:$H))</x:f>
      </x:c>
      <x:c r="H237" s="14" t="str">
        <x:f>IF(OR(A237="",'02 Balance Sheet'!$B$2&lt;&gt;$A237),"",SUMIF('02 Balance Sheet'!$D:$D,"USD",'02 Balance Sheet'!$H:$H))</x:f>
      </x:c>
      <x:c r="I237" s="14" t="str">
        <x:f>IF(OR(A237="",'02 Balance Sheet'!$B$2&lt;&gt;$A237),"",SUMIF('02 Balance Sheet'!$D:$D,"HKD",'02 Balance Sheet'!$H:$H))</x:f>
      </x:c>
      <x:c r="J237" s="12" t="str">
        <x:f>IF(A237="","",IF(COUNT(G237:I237)&lt;3,"Awaiting Month-End Snapshot",IF(OR(B237="",D237=""),"Awaiting Monthly Inputs","Ready to Close")))</x:f>
      </x:c>
      <x:c r="K237" s="22"/>
    </x:row>
    <x:row r="238" ht="19.5" customHeight="1">
      <x:c r="A238" s="25"/>
      <x:c r="B238" s="19"/>
      <x:c r="C238" s="19"/>
      <x:c r="D238" s="19"/>
      <x:c r="E238" s="19"/>
      <x:c r="F238" s="14" t="str">
        <x:f>IF(OR(A238="",B238="",D238=""),"",SUM(B238:C238)-N(D238)+N(E238))</x:f>
      </x:c>
      <x:c r="G238" s="14" t="str">
        <x:f>IF(OR(A238="",'02 Balance Sheet'!$B$2&lt;&gt;$A238),"",SUMIF('02 Balance Sheet'!$D:$D,"CNY",'02 Balance Sheet'!$H:$H))</x:f>
      </x:c>
      <x:c r="H238" s="14" t="str">
        <x:f>IF(OR(A238="",'02 Balance Sheet'!$B$2&lt;&gt;$A238),"",SUMIF('02 Balance Sheet'!$D:$D,"USD",'02 Balance Sheet'!$H:$H))</x:f>
      </x:c>
      <x:c r="I238" s="14" t="str">
        <x:f>IF(OR(A238="",'02 Balance Sheet'!$B$2&lt;&gt;$A238),"",SUMIF('02 Balance Sheet'!$D:$D,"HKD",'02 Balance Sheet'!$H:$H))</x:f>
      </x:c>
      <x:c r="J238" s="12" t="str">
        <x:f>IF(A238="","",IF(COUNT(G238:I238)&lt;3,"Awaiting Month-End Snapshot",IF(OR(B238="",D238=""),"Awaiting Monthly Inputs","Ready to Close")))</x:f>
      </x:c>
      <x:c r="K238" s="22"/>
    </x:row>
    <x:row r="239" ht="19.5" customHeight="1">
      <x:c r="A239" s="25"/>
      <x:c r="B239" s="19"/>
      <x:c r="C239" s="19"/>
      <x:c r="D239" s="19"/>
      <x:c r="E239" s="19"/>
      <x:c r="F239" s="14" t="str">
        <x:f>IF(OR(A239="",B239="",D239=""),"",SUM(B239:C239)-N(D239)+N(E239))</x:f>
      </x:c>
      <x:c r="G239" s="14" t="str">
        <x:f>IF(OR(A239="",'02 Balance Sheet'!$B$2&lt;&gt;$A239),"",SUMIF('02 Balance Sheet'!$D:$D,"CNY",'02 Balance Sheet'!$H:$H))</x:f>
      </x:c>
      <x:c r="H239" s="14" t="str">
        <x:f>IF(OR(A239="",'02 Balance Sheet'!$B$2&lt;&gt;$A239),"",SUMIF('02 Balance Sheet'!$D:$D,"USD",'02 Balance Sheet'!$H:$H))</x:f>
      </x:c>
      <x:c r="I239" s="14" t="str">
        <x:f>IF(OR(A239="",'02 Balance Sheet'!$B$2&lt;&gt;$A239),"",SUMIF('02 Balance Sheet'!$D:$D,"HKD",'02 Balance Sheet'!$H:$H))</x:f>
      </x:c>
      <x:c r="J239" s="12" t="str">
        <x:f>IF(A239="","",IF(COUNT(G239:I239)&lt;3,"Awaiting Month-End Snapshot",IF(OR(B239="",D239=""),"Awaiting Monthly Inputs","Ready to Close")))</x:f>
      </x:c>
      <x:c r="K239" s="22"/>
    </x:row>
    <x:row r="240" ht="19.5" customHeight="1">
      <x:c r="A240" s="25"/>
      <x:c r="B240" s="19"/>
      <x:c r="C240" s="19"/>
      <x:c r="D240" s="19"/>
      <x:c r="E240" s="19"/>
      <x:c r="F240" s="14" t="str">
        <x:f>IF(OR(A240="",B240="",D240=""),"",SUM(B240:C240)-N(D240)+N(E240))</x:f>
      </x:c>
      <x:c r="G240" s="14" t="str">
        <x:f>IF(OR(A240="",'02 Balance Sheet'!$B$2&lt;&gt;$A240),"",SUMIF('02 Balance Sheet'!$D:$D,"CNY",'02 Balance Sheet'!$H:$H))</x:f>
      </x:c>
      <x:c r="H240" s="14" t="str">
        <x:f>IF(OR(A240="",'02 Balance Sheet'!$B$2&lt;&gt;$A240),"",SUMIF('02 Balance Sheet'!$D:$D,"USD",'02 Balance Sheet'!$H:$H))</x:f>
      </x:c>
      <x:c r="I240" s="14" t="str">
        <x:f>IF(OR(A240="",'02 Balance Sheet'!$B$2&lt;&gt;$A240),"",SUMIF('02 Balance Sheet'!$D:$D,"HKD",'02 Balance Sheet'!$H:$H))</x:f>
      </x:c>
      <x:c r="J240" s="12" t="str">
        <x:f>IF(A240="","",IF(COUNT(G240:I240)&lt;3,"Awaiting Month-End Snapshot",IF(OR(B240="",D240=""),"Awaiting Monthly Inputs","Ready to Close")))</x:f>
      </x:c>
      <x:c r="K240" s="22"/>
    </x:row>
    <x:row r="241" ht="19.5" customHeight="1">
      <x:c r="A241" s="25"/>
      <x:c r="B241" s="19"/>
      <x:c r="C241" s="19"/>
      <x:c r="D241" s="19"/>
      <x:c r="E241" s="19"/>
      <x:c r="F241" s="14" t="str">
        <x:f>IF(OR(A241="",B241="",D241=""),"",SUM(B241:C241)-N(D241)+N(E241))</x:f>
      </x:c>
      <x:c r="G241" s="14" t="str">
        <x:f>IF(OR(A241="",'02 Balance Sheet'!$B$2&lt;&gt;$A241),"",SUMIF('02 Balance Sheet'!$D:$D,"CNY",'02 Balance Sheet'!$H:$H))</x:f>
      </x:c>
      <x:c r="H241" s="14" t="str">
        <x:f>IF(OR(A241="",'02 Balance Sheet'!$B$2&lt;&gt;$A241),"",SUMIF('02 Balance Sheet'!$D:$D,"USD",'02 Balance Sheet'!$H:$H))</x:f>
      </x:c>
      <x:c r="I241" s="14" t="str">
        <x:f>IF(OR(A241="",'02 Balance Sheet'!$B$2&lt;&gt;$A241),"",SUMIF('02 Balance Sheet'!$D:$D,"HKD",'02 Balance Sheet'!$H:$H))</x:f>
      </x:c>
      <x:c r="J241" s="12" t="str">
        <x:f>IF(A241="","",IF(COUNT(G241:I241)&lt;3,"Awaiting Month-End Snapshot",IF(OR(B241="",D241=""),"Awaiting Monthly Inputs","Ready to Close")))</x:f>
      </x:c>
      <x:c r="K241" s="22"/>
    </x:row>
    <x:row r="242" ht="19.5" customHeight="1">
      <x:c r="A242" s="25"/>
      <x:c r="B242" s="19"/>
      <x:c r="C242" s="19"/>
      <x:c r="D242" s="19"/>
      <x:c r="E242" s="19"/>
      <x:c r="F242" s="14" t="str">
        <x:f>IF(OR(A242="",B242="",D242=""),"",SUM(B242:C242)-N(D242)+N(E242))</x:f>
      </x:c>
      <x:c r="G242" s="14" t="str">
        <x:f>IF(OR(A242="",'02 Balance Sheet'!$B$2&lt;&gt;$A242),"",SUMIF('02 Balance Sheet'!$D:$D,"CNY",'02 Balance Sheet'!$H:$H))</x:f>
      </x:c>
      <x:c r="H242" s="14" t="str">
        <x:f>IF(OR(A242="",'02 Balance Sheet'!$B$2&lt;&gt;$A242),"",SUMIF('02 Balance Sheet'!$D:$D,"USD",'02 Balance Sheet'!$H:$H))</x:f>
      </x:c>
      <x:c r="I242" s="14" t="str">
        <x:f>IF(OR(A242="",'02 Balance Sheet'!$B$2&lt;&gt;$A242),"",SUMIF('02 Balance Sheet'!$D:$D,"HKD",'02 Balance Sheet'!$H:$H))</x:f>
      </x:c>
      <x:c r="J242" s="12" t="str">
        <x:f>IF(A242="","",IF(COUNT(G242:I242)&lt;3,"Awaiting Month-End Snapshot",IF(OR(B242="",D242=""),"Awaiting Monthly Inputs","Ready to Close")))</x:f>
      </x:c>
      <x:c r="K242" s="22"/>
    </x:row>
    <x:row r="243" ht="19.5" customHeight="1">
      <x:c r="A243" s="25"/>
      <x:c r="B243" s="19"/>
      <x:c r="C243" s="19"/>
      <x:c r="D243" s="19"/>
      <x:c r="E243" s="19"/>
      <x:c r="F243" s="14" t="str">
        <x:f>IF(OR(A243="",B243="",D243=""),"",SUM(B243:C243)-N(D243)+N(E243))</x:f>
      </x:c>
      <x:c r="G243" s="14" t="str">
        <x:f>IF(OR(A243="",'02 Balance Sheet'!$B$2&lt;&gt;$A243),"",SUMIF('02 Balance Sheet'!$D:$D,"CNY",'02 Balance Sheet'!$H:$H))</x:f>
      </x:c>
      <x:c r="H243" s="14" t="str">
        <x:f>IF(OR(A243="",'02 Balance Sheet'!$B$2&lt;&gt;$A243),"",SUMIF('02 Balance Sheet'!$D:$D,"USD",'02 Balance Sheet'!$H:$H))</x:f>
      </x:c>
      <x:c r="I243" s="14" t="str">
        <x:f>IF(OR(A243="",'02 Balance Sheet'!$B$2&lt;&gt;$A243),"",SUMIF('02 Balance Sheet'!$D:$D,"HKD",'02 Balance Sheet'!$H:$H))</x:f>
      </x:c>
      <x:c r="J243" s="12" t="str">
        <x:f>IF(A243="","",IF(COUNT(G243:I243)&lt;3,"Awaiting Month-End Snapshot",IF(OR(B243="",D243=""),"Awaiting Monthly Inputs","Ready to Close")))</x:f>
      </x:c>
      <x:c r="K243" s="22"/>
    </x:row>
    <x:row r="244" ht="19.5" customHeight="1">
      <x:c r="A244" s="25"/>
      <x:c r="B244" s="19"/>
      <x:c r="C244" s="19"/>
      <x:c r="D244" s="19"/>
      <x:c r="E244" s="19"/>
      <x:c r="F244" s="14" t="str">
        <x:f>IF(OR(A244="",B244="",D244=""),"",SUM(B244:C244)-N(D244)+N(E244))</x:f>
      </x:c>
      <x:c r="G244" s="14" t="str">
        <x:f>IF(OR(A244="",'02 Balance Sheet'!$B$2&lt;&gt;$A244),"",SUMIF('02 Balance Sheet'!$D:$D,"CNY",'02 Balance Sheet'!$H:$H))</x:f>
      </x:c>
      <x:c r="H244" s="14" t="str">
        <x:f>IF(OR(A244="",'02 Balance Sheet'!$B$2&lt;&gt;$A244),"",SUMIF('02 Balance Sheet'!$D:$D,"USD",'02 Balance Sheet'!$H:$H))</x:f>
      </x:c>
      <x:c r="I244" s="14" t="str">
        <x:f>IF(OR(A244="",'02 Balance Sheet'!$B$2&lt;&gt;$A244),"",SUMIF('02 Balance Sheet'!$D:$D,"HKD",'02 Balance Sheet'!$H:$H))</x:f>
      </x:c>
      <x:c r="J244" s="12" t="str">
        <x:f>IF(A244="","",IF(COUNT(G244:I244)&lt;3,"Awaiting Month-End Snapshot",IF(OR(B244="",D244=""),"Awaiting Monthly Inputs","Ready to Close")))</x:f>
      </x:c>
      <x:c r="K244" s="22"/>
    </x:row>
    <x:row r="245" ht="19.5" customHeight="1">
      <x:c r="A245" s="25"/>
      <x:c r="B245" s="19"/>
      <x:c r="C245" s="19"/>
      <x:c r="D245" s="19"/>
      <x:c r="E245" s="19"/>
      <x:c r="F245" s="14" t="str">
        <x:f>IF(OR(A245="",B245="",D245=""),"",SUM(B245:C245)-N(D245)+N(E245))</x:f>
      </x:c>
      <x:c r="G245" s="14" t="str">
        <x:f>IF(OR(A245="",'02 Balance Sheet'!$B$2&lt;&gt;$A245),"",SUMIF('02 Balance Sheet'!$D:$D,"CNY",'02 Balance Sheet'!$H:$H))</x:f>
      </x:c>
      <x:c r="H245" s="14" t="str">
        <x:f>IF(OR(A245="",'02 Balance Sheet'!$B$2&lt;&gt;$A245),"",SUMIF('02 Balance Sheet'!$D:$D,"USD",'02 Balance Sheet'!$H:$H))</x:f>
      </x:c>
      <x:c r="I245" s="14" t="str">
        <x:f>IF(OR(A245="",'02 Balance Sheet'!$B$2&lt;&gt;$A245),"",SUMIF('02 Balance Sheet'!$D:$D,"HKD",'02 Balance Sheet'!$H:$H))</x:f>
      </x:c>
      <x:c r="J245" s="12" t="str">
        <x:f>IF(A245="","",IF(COUNT(G245:I245)&lt;3,"Awaiting Month-End Snapshot",IF(OR(B245="",D245=""),"Awaiting Monthly Inputs","Ready to Close")))</x:f>
      </x:c>
      <x:c r="K245" s="22"/>
    </x:row>
    <x:row r="246" ht="19.5" customHeight="1">
      <x:c r="A246" s="25"/>
      <x:c r="B246" s="19"/>
      <x:c r="C246" s="19"/>
      <x:c r="D246" s="19"/>
      <x:c r="E246" s="19"/>
      <x:c r="F246" s="14" t="str">
        <x:f>IF(OR(A246="",B246="",D246=""),"",SUM(B246:C246)-N(D246)+N(E246))</x:f>
      </x:c>
      <x:c r="G246" s="14" t="str">
        <x:f>IF(OR(A246="",'02 Balance Sheet'!$B$2&lt;&gt;$A246),"",SUMIF('02 Balance Sheet'!$D:$D,"CNY",'02 Balance Sheet'!$H:$H))</x:f>
      </x:c>
      <x:c r="H246" s="14" t="str">
        <x:f>IF(OR(A246="",'02 Balance Sheet'!$B$2&lt;&gt;$A246),"",SUMIF('02 Balance Sheet'!$D:$D,"USD",'02 Balance Sheet'!$H:$H))</x:f>
      </x:c>
      <x:c r="I246" s="14" t="str">
        <x:f>IF(OR(A246="",'02 Balance Sheet'!$B$2&lt;&gt;$A246),"",SUMIF('02 Balance Sheet'!$D:$D,"HKD",'02 Balance Sheet'!$H:$H))</x:f>
      </x:c>
      <x:c r="J246" s="12" t="str">
        <x:f>IF(A246="","",IF(COUNT(G246:I246)&lt;3,"Awaiting Month-End Snapshot",IF(OR(B246="",D246=""),"Awaiting Monthly Inputs","Ready to Close")))</x:f>
      </x:c>
      <x:c r="K246" s="22"/>
    </x:row>
    <x:row r="247" ht="19.5" customHeight="1">
      <x:c r="A247" s="25"/>
      <x:c r="B247" s="19"/>
      <x:c r="C247" s="19"/>
      <x:c r="D247" s="19"/>
      <x:c r="E247" s="19"/>
      <x:c r="F247" s="14" t="str">
        <x:f>IF(OR(A247="",B247="",D247=""),"",SUM(B247:C247)-N(D247)+N(E247))</x:f>
      </x:c>
      <x:c r="G247" s="14" t="str">
        <x:f>IF(OR(A247="",'02 Balance Sheet'!$B$2&lt;&gt;$A247),"",SUMIF('02 Balance Sheet'!$D:$D,"CNY",'02 Balance Sheet'!$H:$H))</x:f>
      </x:c>
      <x:c r="H247" s="14" t="str">
        <x:f>IF(OR(A247="",'02 Balance Sheet'!$B$2&lt;&gt;$A247),"",SUMIF('02 Balance Sheet'!$D:$D,"USD",'02 Balance Sheet'!$H:$H))</x:f>
      </x:c>
      <x:c r="I247" s="14" t="str">
        <x:f>IF(OR(A247="",'02 Balance Sheet'!$B$2&lt;&gt;$A247),"",SUMIF('02 Balance Sheet'!$D:$D,"HKD",'02 Balance Sheet'!$H:$H))</x:f>
      </x:c>
      <x:c r="J247" s="12" t="str">
        <x:f>IF(A247="","",IF(COUNT(G247:I247)&lt;3,"Awaiting Month-End Snapshot",IF(OR(B247="",D247=""),"Awaiting Monthly Inputs","Ready to Close")))</x:f>
      </x:c>
      <x:c r="K247" s="22"/>
    </x:row>
    <x:row r="248" ht="19.5" customHeight="1">
      <x:c r="A248" s="25"/>
      <x:c r="B248" s="19"/>
      <x:c r="C248" s="19"/>
      <x:c r="D248" s="19"/>
      <x:c r="E248" s="19"/>
      <x:c r="F248" s="14" t="str">
        <x:f>IF(OR(A248="",B248="",D248=""),"",SUM(B248:C248)-N(D248)+N(E248))</x:f>
      </x:c>
      <x:c r="G248" s="14" t="str">
        <x:f>IF(OR(A248="",'02 Balance Sheet'!$B$2&lt;&gt;$A248),"",SUMIF('02 Balance Sheet'!$D:$D,"CNY",'02 Balance Sheet'!$H:$H))</x:f>
      </x:c>
      <x:c r="H248" s="14" t="str">
        <x:f>IF(OR(A248="",'02 Balance Sheet'!$B$2&lt;&gt;$A248),"",SUMIF('02 Balance Sheet'!$D:$D,"USD",'02 Balance Sheet'!$H:$H))</x:f>
      </x:c>
      <x:c r="I248" s="14" t="str">
        <x:f>IF(OR(A248="",'02 Balance Sheet'!$B$2&lt;&gt;$A248),"",SUMIF('02 Balance Sheet'!$D:$D,"HKD",'02 Balance Sheet'!$H:$H))</x:f>
      </x:c>
      <x:c r="J248" s="12" t="str">
        <x:f>IF(A248="","",IF(COUNT(G248:I248)&lt;3,"Awaiting Month-End Snapshot",IF(OR(B248="",D248=""),"Awaiting Monthly Inputs","Ready to Close")))</x:f>
      </x:c>
      <x:c r="K248" s="22"/>
    </x:row>
    <x:row r="249" ht="19.5" customHeight="1">
      <x:c r="A249" s="25"/>
      <x:c r="B249" s="19"/>
      <x:c r="C249" s="19"/>
      <x:c r="D249" s="19"/>
      <x:c r="E249" s="19"/>
      <x:c r="F249" s="14" t="str">
        <x:f>IF(OR(A249="",B249="",D249=""),"",SUM(B249:C249)-N(D249)+N(E249))</x:f>
      </x:c>
      <x:c r="G249" s="14" t="str">
        <x:f>IF(OR(A249="",'02 Balance Sheet'!$B$2&lt;&gt;$A249),"",SUMIF('02 Balance Sheet'!$D:$D,"CNY",'02 Balance Sheet'!$H:$H))</x:f>
      </x:c>
      <x:c r="H249" s="14" t="str">
        <x:f>IF(OR(A249="",'02 Balance Sheet'!$B$2&lt;&gt;$A249),"",SUMIF('02 Balance Sheet'!$D:$D,"USD",'02 Balance Sheet'!$H:$H))</x:f>
      </x:c>
      <x:c r="I249" s="14" t="str">
        <x:f>IF(OR(A249="",'02 Balance Sheet'!$B$2&lt;&gt;$A249),"",SUMIF('02 Balance Sheet'!$D:$D,"HKD",'02 Balance Sheet'!$H:$H))</x:f>
      </x:c>
      <x:c r="J249" s="12" t="str">
        <x:f>IF(A249="","",IF(COUNT(G249:I249)&lt;3,"Awaiting Month-End Snapshot",IF(OR(B249="",D249=""),"Awaiting Monthly Inputs","Ready to Close")))</x:f>
      </x:c>
      <x:c r="K249" s="22"/>
    </x:row>
    <x:row r="250" ht="19.5" customHeight="1">
      <x:c r="A250" s="25"/>
      <x:c r="B250" s="19"/>
      <x:c r="C250" s="19"/>
      <x:c r="D250" s="19"/>
      <x:c r="E250" s="19"/>
      <x:c r="F250" s="14" t="str">
        <x:f>IF(OR(A250="",B250="",D250=""),"",SUM(B250:C250)-N(D250)+N(E250))</x:f>
      </x:c>
      <x:c r="G250" s="14" t="str">
        <x:f>IF(OR(A250="",'02 Balance Sheet'!$B$2&lt;&gt;$A250),"",SUMIF('02 Balance Sheet'!$D:$D,"CNY",'02 Balance Sheet'!$H:$H))</x:f>
      </x:c>
      <x:c r="H250" s="14" t="str">
        <x:f>IF(OR(A250="",'02 Balance Sheet'!$B$2&lt;&gt;$A250),"",SUMIF('02 Balance Sheet'!$D:$D,"USD",'02 Balance Sheet'!$H:$H))</x:f>
      </x:c>
      <x:c r="I250" s="14" t="str">
        <x:f>IF(OR(A250="",'02 Balance Sheet'!$B$2&lt;&gt;$A250),"",SUMIF('02 Balance Sheet'!$D:$D,"HKD",'02 Balance Sheet'!$H:$H))</x:f>
      </x:c>
      <x:c r="J250" s="12" t="str">
        <x:f>IF(A250="","",IF(COUNT(G250:I250)&lt;3,"Awaiting Month-End Snapshot",IF(OR(B250="",D250=""),"Awaiting Monthly Inputs","Ready to Close")))</x:f>
      </x:c>
      <x:c r="K250" s="22"/>
    </x:row>
    <x:row r="251" ht="19.5" customHeight="1">
      <x:c r="A251" s="25"/>
      <x:c r="B251" s="19"/>
      <x:c r="C251" s="19"/>
      <x:c r="D251" s="19"/>
      <x:c r="E251" s="19"/>
      <x:c r="F251" s="14" t="str">
        <x:f>IF(OR(A251="",B251="",D251=""),"",SUM(B251:C251)-N(D251)+N(E251))</x:f>
      </x:c>
      <x:c r="G251" s="14" t="str">
        <x:f>IF(OR(A251="",'02 Balance Sheet'!$B$2&lt;&gt;$A251),"",SUMIF('02 Balance Sheet'!$D:$D,"CNY",'02 Balance Sheet'!$H:$H))</x:f>
      </x:c>
      <x:c r="H251" s="14" t="str">
        <x:f>IF(OR(A251="",'02 Balance Sheet'!$B$2&lt;&gt;$A251),"",SUMIF('02 Balance Sheet'!$D:$D,"USD",'02 Balance Sheet'!$H:$H))</x:f>
      </x:c>
      <x:c r="I251" s="14" t="str">
        <x:f>IF(OR(A251="",'02 Balance Sheet'!$B$2&lt;&gt;$A251),"",SUMIF('02 Balance Sheet'!$D:$D,"HKD",'02 Balance Sheet'!$H:$H))</x:f>
      </x:c>
      <x:c r="J251" s="12" t="str">
        <x:f>IF(A251="","",IF(COUNT(G251:I251)&lt;3,"Awaiting Month-End Snapshot",IF(OR(B251="",D251=""),"Awaiting Monthly Inputs","Ready to Close")))</x:f>
      </x:c>
      <x:c r="K251" s="22"/>
    </x:row>
    <x:row r="252" ht="19.5" customHeight="1">
      <x:c r="A252" s="25"/>
      <x:c r="B252" s="19"/>
      <x:c r="C252" s="19"/>
      <x:c r="D252" s="19"/>
      <x:c r="E252" s="19"/>
      <x:c r="F252" s="14" t="str">
        <x:f>IF(OR(A252="",B252="",D252=""),"",SUM(B252:C252)-N(D252)+N(E252))</x:f>
      </x:c>
      <x:c r="G252" s="14" t="str">
        <x:f>IF(OR(A252="",'02 Balance Sheet'!$B$2&lt;&gt;$A252),"",SUMIF('02 Balance Sheet'!$D:$D,"CNY",'02 Balance Sheet'!$H:$H))</x:f>
      </x:c>
      <x:c r="H252" s="14" t="str">
        <x:f>IF(OR(A252="",'02 Balance Sheet'!$B$2&lt;&gt;$A252),"",SUMIF('02 Balance Sheet'!$D:$D,"USD",'02 Balance Sheet'!$H:$H))</x:f>
      </x:c>
      <x:c r="I252" s="14" t="str">
        <x:f>IF(OR(A252="",'02 Balance Sheet'!$B$2&lt;&gt;$A252),"",SUMIF('02 Balance Sheet'!$D:$D,"HKD",'02 Balance Sheet'!$H:$H))</x:f>
      </x:c>
      <x:c r="J252" s="12" t="str">
        <x:f>IF(A252="","",IF(COUNT(G252:I252)&lt;3,"Awaiting Month-End Snapshot",IF(OR(B252="",D252=""),"Awaiting Monthly Inputs","Ready to Close")))</x:f>
      </x:c>
      <x:c r="K252" s="22"/>
    </x:row>
    <x:row r="253" ht="19.5" customHeight="1">
      <x:c r="A253" s="25"/>
      <x:c r="B253" s="19"/>
      <x:c r="C253" s="19"/>
      <x:c r="D253" s="19"/>
      <x:c r="E253" s="19"/>
      <x:c r="F253" s="14" t="str">
        <x:f>IF(OR(A253="",B253="",D253=""),"",SUM(B253:C253)-N(D253)+N(E253))</x:f>
      </x:c>
      <x:c r="G253" s="14" t="str">
        <x:f>IF(OR(A253="",'02 Balance Sheet'!$B$2&lt;&gt;$A253),"",SUMIF('02 Balance Sheet'!$D:$D,"CNY",'02 Balance Sheet'!$H:$H))</x:f>
      </x:c>
      <x:c r="H253" s="14" t="str">
        <x:f>IF(OR(A253="",'02 Balance Sheet'!$B$2&lt;&gt;$A253),"",SUMIF('02 Balance Sheet'!$D:$D,"USD",'02 Balance Sheet'!$H:$H))</x:f>
      </x:c>
      <x:c r="I253" s="14" t="str">
        <x:f>IF(OR(A253="",'02 Balance Sheet'!$B$2&lt;&gt;$A253),"",SUMIF('02 Balance Sheet'!$D:$D,"HKD",'02 Balance Sheet'!$H:$H))</x:f>
      </x:c>
      <x:c r="J253" s="12" t="str">
        <x:f>IF(A253="","",IF(COUNT(G253:I253)&lt;3,"Awaiting Month-End Snapshot",IF(OR(B253="",D253=""),"Awaiting Monthly Inputs","Ready to Close")))</x:f>
      </x:c>
      <x:c r="K253" s="22"/>
    </x:row>
    <x:row r="254" ht="19.5" customHeight="1">
      <x:c r="A254" s="25"/>
      <x:c r="B254" s="19"/>
      <x:c r="C254" s="19"/>
      <x:c r="D254" s="19"/>
      <x:c r="E254" s="19"/>
      <x:c r="F254" s="14" t="str">
        <x:f>IF(OR(A254="",B254="",D254=""),"",SUM(B254:C254)-N(D254)+N(E254))</x:f>
      </x:c>
      <x:c r="G254" s="14" t="str">
        <x:f>IF(OR(A254="",'02 Balance Sheet'!$B$2&lt;&gt;$A254),"",SUMIF('02 Balance Sheet'!$D:$D,"CNY",'02 Balance Sheet'!$H:$H))</x:f>
      </x:c>
      <x:c r="H254" s="14" t="str">
        <x:f>IF(OR(A254="",'02 Balance Sheet'!$B$2&lt;&gt;$A254),"",SUMIF('02 Balance Sheet'!$D:$D,"USD",'02 Balance Sheet'!$H:$H))</x:f>
      </x:c>
      <x:c r="I254" s="14" t="str">
        <x:f>IF(OR(A254="",'02 Balance Sheet'!$B$2&lt;&gt;$A254),"",SUMIF('02 Balance Sheet'!$D:$D,"HKD",'02 Balance Sheet'!$H:$H))</x:f>
      </x:c>
      <x:c r="J254" s="12" t="str">
        <x:f>IF(A254="","",IF(COUNT(G254:I254)&lt;3,"Awaiting Month-End Snapshot",IF(OR(B254="",D254=""),"Awaiting Monthly Inputs","Ready to Close")))</x:f>
      </x:c>
      <x:c r="K254" s="22"/>
    </x:row>
    <x:row r="255" ht="19.5" customHeight="1">
      <x:c r="A255" s="25"/>
      <x:c r="B255" s="19"/>
      <x:c r="C255" s="19"/>
      <x:c r="D255" s="19"/>
      <x:c r="E255" s="19"/>
      <x:c r="F255" s="14" t="str">
        <x:f>IF(OR(A255="",B255="",D255=""),"",SUM(B255:C255)-N(D255)+N(E255))</x:f>
      </x:c>
      <x:c r="G255" s="14" t="str">
        <x:f>IF(OR(A255="",'02 Balance Sheet'!$B$2&lt;&gt;$A255),"",SUMIF('02 Balance Sheet'!$D:$D,"CNY",'02 Balance Sheet'!$H:$H))</x:f>
      </x:c>
      <x:c r="H255" s="14" t="str">
        <x:f>IF(OR(A255="",'02 Balance Sheet'!$B$2&lt;&gt;$A255),"",SUMIF('02 Balance Sheet'!$D:$D,"USD",'02 Balance Sheet'!$H:$H))</x:f>
      </x:c>
      <x:c r="I255" s="14" t="str">
        <x:f>IF(OR(A255="",'02 Balance Sheet'!$B$2&lt;&gt;$A255),"",SUMIF('02 Balance Sheet'!$D:$D,"HKD",'02 Balance Sheet'!$H:$H))</x:f>
      </x:c>
      <x:c r="J255" s="12" t="str">
        <x:f>IF(A255="","",IF(COUNT(G255:I255)&lt;3,"Awaiting Month-End Snapshot",IF(OR(B255="",D255=""),"Awaiting Monthly Inputs","Ready to Close")))</x:f>
      </x:c>
      <x:c r="K255" s="22"/>
    </x:row>
    <x:row r="256" ht="19.5" customHeight="1">
      <x:c r="A256" s="25"/>
      <x:c r="B256" s="19"/>
      <x:c r="C256" s="19"/>
      <x:c r="D256" s="19"/>
      <x:c r="E256" s="19"/>
      <x:c r="F256" s="14" t="str">
        <x:f>IF(OR(A256="",B256="",D256=""),"",SUM(B256:C256)-N(D256)+N(E256))</x:f>
      </x:c>
      <x:c r="G256" s="14" t="str">
        <x:f>IF(OR(A256="",'02 Balance Sheet'!$B$2&lt;&gt;$A256),"",SUMIF('02 Balance Sheet'!$D:$D,"CNY",'02 Balance Sheet'!$H:$H))</x:f>
      </x:c>
      <x:c r="H256" s="14" t="str">
        <x:f>IF(OR(A256="",'02 Balance Sheet'!$B$2&lt;&gt;$A256),"",SUMIF('02 Balance Sheet'!$D:$D,"USD",'02 Balance Sheet'!$H:$H))</x:f>
      </x:c>
      <x:c r="I256" s="14" t="str">
        <x:f>IF(OR(A256="",'02 Balance Sheet'!$B$2&lt;&gt;$A256),"",SUMIF('02 Balance Sheet'!$D:$D,"HKD",'02 Balance Sheet'!$H:$H))</x:f>
      </x:c>
      <x:c r="J256" s="12" t="str">
        <x:f>IF(A256="","",IF(COUNT(G256:I256)&lt;3,"Awaiting Month-End Snapshot",IF(OR(B256="",D256=""),"Awaiting Monthly Inputs","Ready to Close")))</x:f>
      </x:c>
      <x:c r="K256" s="22"/>
    </x:row>
    <x:row r="257" ht="19.5" customHeight="1">
      <x:c r="A257" s="25"/>
      <x:c r="B257" s="19"/>
      <x:c r="C257" s="19"/>
      <x:c r="D257" s="19"/>
      <x:c r="E257" s="19"/>
      <x:c r="F257" s="14" t="str">
        <x:f>IF(OR(A257="",B257="",D257=""),"",SUM(B257:C257)-N(D257)+N(E257))</x:f>
      </x:c>
      <x:c r="G257" s="14" t="str">
        <x:f>IF(OR(A257="",'02 Balance Sheet'!$B$2&lt;&gt;$A257),"",SUMIF('02 Balance Sheet'!$D:$D,"CNY",'02 Balance Sheet'!$H:$H))</x:f>
      </x:c>
      <x:c r="H257" s="14" t="str">
        <x:f>IF(OR(A257="",'02 Balance Sheet'!$B$2&lt;&gt;$A257),"",SUMIF('02 Balance Sheet'!$D:$D,"USD",'02 Balance Sheet'!$H:$H))</x:f>
      </x:c>
      <x:c r="I257" s="14" t="str">
        <x:f>IF(OR(A257="",'02 Balance Sheet'!$B$2&lt;&gt;$A257),"",SUMIF('02 Balance Sheet'!$D:$D,"HKD",'02 Balance Sheet'!$H:$H))</x:f>
      </x:c>
      <x:c r="J257" s="12" t="str">
        <x:f>IF(A257="","",IF(COUNT(G257:I257)&lt;3,"Awaiting Month-End Snapshot",IF(OR(B257="",D257=""),"Awaiting Monthly Inputs","Ready to Close")))</x:f>
      </x:c>
      <x:c r="K257" s="22"/>
    </x:row>
    <x:row r="258" ht="19.5" customHeight="1">
      <x:c r="A258" s="25"/>
      <x:c r="B258" s="19"/>
      <x:c r="C258" s="19"/>
      <x:c r="D258" s="19"/>
      <x:c r="E258" s="19"/>
      <x:c r="F258" s="14" t="str">
        <x:f>IF(OR(A258="",B258="",D258=""),"",SUM(B258:C258)-N(D258)+N(E258))</x:f>
      </x:c>
      <x:c r="G258" s="14" t="str">
        <x:f>IF(OR(A258="",'02 Balance Sheet'!$B$2&lt;&gt;$A258),"",SUMIF('02 Balance Sheet'!$D:$D,"CNY",'02 Balance Sheet'!$H:$H))</x:f>
      </x:c>
      <x:c r="H258" s="14" t="str">
        <x:f>IF(OR(A258="",'02 Balance Sheet'!$B$2&lt;&gt;$A258),"",SUMIF('02 Balance Sheet'!$D:$D,"USD",'02 Balance Sheet'!$H:$H))</x:f>
      </x:c>
      <x:c r="I258" s="14" t="str">
        <x:f>IF(OR(A258="",'02 Balance Sheet'!$B$2&lt;&gt;$A258),"",SUMIF('02 Balance Sheet'!$D:$D,"HKD",'02 Balance Sheet'!$H:$H))</x:f>
      </x:c>
      <x:c r="J258" s="12" t="str">
        <x:f>IF(A258="","",IF(COUNT(G258:I258)&lt;3,"Awaiting Month-End Snapshot",IF(OR(B258="",D258=""),"Awaiting Monthly Inputs","Ready to Close")))</x:f>
      </x:c>
      <x:c r="K258" s="22"/>
    </x:row>
    <x:row r="259" ht="19.5" customHeight="1">
      <x:c r="A259" s="25"/>
      <x:c r="B259" s="19"/>
      <x:c r="C259" s="19"/>
      <x:c r="D259" s="19"/>
      <x:c r="E259" s="19"/>
      <x:c r="F259" s="14" t="str">
        <x:f>IF(OR(A259="",B259="",D259=""),"",SUM(B259:C259)-N(D259)+N(E259))</x:f>
      </x:c>
      <x:c r="G259" s="14" t="str">
        <x:f>IF(OR(A259="",'02 Balance Sheet'!$B$2&lt;&gt;$A259),"",SUMIF('02 Balance Sheet'!$D:$D,"CNY",'02 Balance Sheet'!$H:$H))</x:f>
      </x:c>
      <x:c r="H259" s="14" t="str">
        <x:f>IF(OR(A259="",'02 Balance Sheet'!$B$2&lt;&gt;$A259),"",SUMIF('02 Balance Sheet'!$D:$D,"USD",'02 Balance Sheet'!$H:$H))</x:f>
      </x:c>
      <x:c r="I259" s="14" t="str">
        <x:f>IF(OR(A259="",'02 Balance Sheet'!$B$2&lt;&gt;$A259),"",SUMIF('02 Balance Sheet'!$D:$D,"HKD",'02 Balance Sheet'!$H:$H))</x:f>
      </x:c>
      <x:c r="J259" s="12" t="str">
        <x:f>IF(A259="","",IF(COUNT(G259:I259)&lt;3,"Awaiting Month-End Snapshot",IF(OR(B259="",D259=""),"Awaiting Monthly Inputs","Ready to Close")))</x:f>
      </x:c>
      <x:c r="K259" s="22"/>
    </x:row>
    <x:row r="260" ht="19.5" customHeight="1">
      <x:c r="A260" s="25"/>
      <x:c r="B260" s="19"/>
      <x:c r="C260" s="19"/>
      <x:c r="D260" s="19"/>
      <x:c r="E260" s="19"/>
      <x:c r="F260" s="14" t="str">
        <x:f>IF(OR(A260="",B260="",D260=""),"",SUM(B260:C260)-N(D260)+N(E260))</x:f>
      </x:c>
      <x:c r="G260" s="14" t="str">
        <x:f>IF(OR(A260="",'02 Balance Sheet'!$B$2&lt;&gt;$A260),"",SUMIF('02 Balance Sheet'!$D:$D,"CNY",'02 Balance Sheet'!$H:$H))</x:f>
      </x:c>
      <x:c r="H260" s="14" t="str">
        <x:f>IF(OR(A260="",'02 Balance Sheet'!$B$2&lt;&gt;$A260),"",SUMIF('02 Balance Sheet'!$D:$D,"USD",'02 Balance Sheet'!$H:$H))</x:f>
      </x:c>
      <x:c r="I260" s="14" t="str">
        <x:f>IF(OR(A260="",'02 Balance Sheet'!$B$2&lt;&gt;$A260),"",SUMIF('02 Balance Sheet'!$D:$D,"HKD",'02 Balance Sheet'!$H:$H))</x:f>
      </x:c>
      <x:c r="J260" s="12" t="str">
        <x:f>IF(A260="","",IF(COUNT(G260:I260)&lt;3,"Awaiting Month-End Snapshot",IF(OR(B260="",D260=""),"Awaiting Monthly Inputs","Ready to Close")))</x:f>
      </x:c>
      <x:c r="K260" s="22"/>
    </x:row>
    <x:row r="261" ht="19.5" customHeight="1">
      <x:c r="A261" s="25"/>
      <x:c r="B261" s="19"/>
      <x:c r="C261" s="19"/>
      <x:c r="D261" s="19"/>
      <x:c r="E261" s="19"/>
      <x:c r="F261" s="14" t="str">
        <x:f>IF(OR(A261="",B261="",D261=""),"",SUM(B261:C261)-N(D261)+N(E261))</x:f>
      </x:c>
      <x:c r="G261" s="14" t="str">
        <x:f>IF(OR(A261="",'02 Balance Sheet'!$B$2&lt;&gt;$A261),"",SUMIF('02 Balance Sheet'!$D:$D,"CNY",'02 Balance Sheet'!$H:$H))</x:f>
      </x:c>
      <x:c r="H261" s="14" t="str">
        <x:f>IF(OR(A261="",'02 Balance Sheet'!$B$2&lt;&gt;$A261),"",SUMIF('02 Balance Sheet'!$D:$D,"USD",'02 Balance Sheet'!$H:$H))</x:f>
      </x:c>
      <x:c r="I261" s="14" t="str">
        <x:f>IF(OR(A261="",'02 Balance Sheet'!$B$2&lt;&gt;$A261),"",SUMIF('02 Balance Sheet'!$D:$D,"HKD",'02 Balance Sheet'!$H:$H))</x:f>
      </x:c>
      <x:c r="J261" s="12" t="str">
        <x:f>IF(A261="","",IF(COUNT(G261:I261)&lt;3,"Awaiting Month-End Snapshot",IF(OR(B261="",D261=""),"Awaiting Monthly Inputs","Ready to Close")))</x:f>
      </x:c>
      <x:c r="K261" s="22"/>
    </x:row>
    <x:row r="262" ht="19.5" customHeight="1">
      <x:c r="A262" s="25"/>
      <x:c r="B262" s="19"/>
      <x:c r="C262" s="19"/>
      <x:c r="D262" s="19"/>
      <x:c r="E262" s="19"/>
      <x:c r="F262" s="14" t="str">
        <x:f>IF(OR(A262="",B262="",D262=""),"",SUM(B262:C262)-N(D262)+N(E262))</x:f>
      </x:c>
      <x:c r="G262" s="14" t="str">
        <x:f>IF(OR(A262="",'02 Balance Sheet'!$B$2&lt;&gt;$A262),"",SUMIF('02 Balance Sheet'!$D:$D,"CNY",'02 Balance Sheet'!$H:$H))</x:f>
      </x:c>
      <x:c r="H262" s="14" t="str">
        <x:f>IF(OR(A262="",'02 Balance Sheet'!$B$2&lt;&gt;$A262),"",SUMIF('02 Balance Sheet'!$D:$D,"USD",'02 Balance Sheet'!$H:$H))</x:f>
      </x:c>
      <x:c r="I262" s="14" t="str">
        <x:f>IF(OR(A262="",'02 Balance Sheet'!$B$2&lt;&gt;$A262),"",SUMIF('02 Balance Sheet'!$D:$D,"HKD",'02 Balance Sheet'!$H:$H))</x:f>
      </x:c>
      <x:c r="J262" s="12" t="str">
        <x:f>IF(A262="","",IF(COUNT(G262:I262)&lt;3,"Awaiting Month-End Snapshot",IF(OR(B262="",D262=""),"Awaiting Monthly Inputs","Ready to Close")))</x:f>
      </x:c>
      <x:c r="K262" s="22"/>
    </x:row>
    <x:row r="263" ht="19.5" customHeight="1">
      <x:c r="A263" s="25"/>
      <x:c r="B263" s="19"/>
      <x:c r="C263" s="19"/>
      <x:c r="D263" s="19"/>
      <x:c r="E263" s="19"/>
      <x:c r="F263" s="14" t="str">
        <x:f>IF(OR(A263="",B263="",D263=""),"",SUM(B263:C263)-N(D263)+N(E263))</x:f>
      </x:c>
      <x:c r="G263" s="14" t="str">
        <x:f>IF(OR(A263="",'02 Balance Sheet'!$B$2&lt;&gt;$A263),"",SUMIF('02 Balance Sheet'!$D:$D,"CNY",'02 Balance Sheet'!$H:$H))</x:f>
      </x:c>
      <x:c r="H263" s="14" t="str">
        <x:f>IF(OR(A263="",'02 Balance Sheet'!$B$2&lt;&gt;$A263),"",SUMIF('02 Balance Sheet'!$D:$D,"USD",'02 Balance Sheet'!$H:$H))</x:f>
      </x:c>
      <x:c r="I263" s="14" t="str">
        <x:f>IF(OR(A263="",'02 Balance Sheet'!$B$2&lt;&gt;$A263),"",SUMIF('02 Balance Sheet'!$D:$D,"HKD",'02 Balance Sheet'!$H:$H))</x:f>
      </x:c>
      <x:c r="J263" s="12" t="str">
        <x:f>IF(A263="","",IF(COUNT(G263:I263)&lt;3,"Awaiting Month-End Snapshot",IF(OR(B263="",D263=""),"Awaiting Monthly Inputs","Ready to Close")))</x:f>
      </x:c>
      <x:c r="K263" s="22"/>
    </x:row>
    <x:row r="264" ht="19.5" customHeight="1">
      <x:c r="A264" s="25"/>
      <x:c r="B264" s="19"/>
      <x:c r="C264" s="19"/>
      <x:c r="D264" s="19"/>
      <x:c r="E264" s="19"/>
      <x:c r="F264" s="14" t="str">
        <x:f>IF(OR(A264="",B264="",D264=""),"",SUM(B264:C264)-N(D264)+N(E264))</x:f>
      </x:c>
      <x:c r="G264" s="14" t="str">
        <x:f>IF(OR(A264="",'02 Balance Sheet'!$B$2&lt;&gt;$A264),"",SUMIF('02 Balance Sheet'!$D:$D,"CNY",'02 Balance Sheet'!$H:$H))</x:f>
      </x:c>
      <x:c r="H264" s="14" t="str">
        <x:f>IF(OR(A264="",'02 Balance Sheet'!$B$2&lt;&gt;$A264),"",SUMIF('02 Balance Sheet'!$D:$D,"USD",'02 Balance Sheet'!$H:$H))</x:f>
      </x:c>
      <x:c r="I264" s="14" t="str">
        <x:f>IF(OR(A264="",'02 Balance Sheet'!$B$2&lt;&gt;$A264),"",SUMIF('02 Balance Sheet'!$D:$D,"HKD",'02 Balance Sheet'!$H:$H))</x:f>
      </x:c>
      <x:c r="J264" s="12" t="str">
        <x:f>IF(A264="","",IF(COUNT(G264:I264)&lt;3,"Awaiting Month-End Snapshot",IF(OR(B264="",D264=""),"Awaiting Monthly Inputs","Ready to Close")))</x:f>
      </x:c>
      <x:c r="K264" s="22"/>
    </x:row>
    <x:row r="265" ht="19.5" customHeight="1">
      <x:c r="A265" s="25"/>
      <x:c r="B265" s="19"/>
      <x:c r="C265" s="19"/>
      <x:c r="D265" s="19"/>
      <x:c r="E265" s="19"/>
      <x:c r="F265" s="14" t="str">
        <x:f>IF(OR(A265="",B265="",D265=""),"",SUM(B265:C265)-N(D265)+N(E265))</x:f>
      </x:c>
      <x:c r="G265" s="14" t="str">
        <x:f>IF(OR(A265="",'02 Balance Sheet'!$B$2&lt;&gt;$A265),"",SUMIF('02 Balance Sheet'!$D:$D,"CNY",'02 Balance Sheet'!$H:$H))</x:f>
      </x:c>
      <x:c r="H265" s="14" t="str">
        <x:f>IF(OR(A265="",'02 Balance Sheet'!$B$2&lt;&gt;$A265),"",SUMIF('02 Balance Sheet'!$D:$D,"USD",'02 Balance Sheet'!$H:$H))</x:f>
      </x:c>
      <x:c r="I265" s="14" t="str">
        <x:f>IF(OR(A265="",'02 Balance Sheet'!$B$2&lt;&gt;$A265),"",SUMIF('02 Balance Sheet'!$D:$D,"HKD",'02 Balance Sheet'!$H:$H))</x:f>
      </x:c>
      <x:c r="J265" s="12" t="str">
        <x:f>IF(A265="","",IF(COUNT(G265:I265)&lt;3,"Awaiting Month-End Snapshot",IF(OR(B265="",D265=""),"Awaiting Monthly Inputs","Ready to Close")))</x:f>
      </x:c>
      <x:c r="K265" s="22"/>
    </x:row>
    <x:row r="266" ht="19.5" customHeight="1">
      <x:c r="A266" s="25"/>
      <x:c r="B266" s="19"/>
      <x:c r="C266" s="19"/>
      <x:c r="D266" s="19"/>
      <x:c r="E266" s="19"/>
      <x:c r="F266" s="14" t="str">
        <x:f>IF(OR(A266="",B266="",D266=""),"",SUM(B266:C266)-N(D266)+N(E266))</x:f>
      </x:c>
      <x:c r="G266" s="14" t="str">
        <x:f>IF(OR(A266="",'02 Balance Sheet'!$B$2&lt;&gt;$A266),"",SUMIF('02 Balance Sheet'!$D:$D,"CNY",'02 Balance Sheet'!$H:$H))</x:f>
      </x:c>
      <x:c r="H266" s="14" t="str">
        <x:f>IF(OR(A266="",'02 Balance Sheet'!$B$2&lt;&gt;$A266),"",SUMIF('02 Balance Sheet'!$D:$D,"USD",'02 Balance Sheet'!$H:$H))</x:f>
      </x:c>
      <x:c r="I266" s="14" t="str">
        <x:f>IF(OR(A266="",'02 Balance Sheet'!$B$2&lt;&gt;$A266),"",SUMIF('02 Balance Sheet'!$D:$D,"HKD",'02 Balance Sheet'!$H:$H))</x:f>
      </x:c>
      <x:c r="J266" s="12" t="str">
        <x:f>IF(A266="","",IF(COUNT(G266:I266)&lt;3,"Awaiting Month-End Snapshot",IF(OR(B266="",D266=""),"Awaiting Monthly Inputs","Ready to Close")))</x:f>
      </x:c>
      <x:c r="K266" s="22"/>
    </x:row>
    <x:row r="267" ht="19.5" customHeight="1">
      <x:c r="A267" s="25"/>
      <x:c r="B267" s="19"/>
      <x:c r="C267" s="19"/>
      <x:c r="D267" s="19"/>
      <x:c r="E267" s="19"/>
      <x:c r="F267" s="14" t="str">
        <x:f>IF(OR(A267="",B267="",D267=""),"",SUM(B267:C267)-N(D267)+N(E267))</x:f>
      </x:c>
      <x:c r="G267" s="14" t="str">
        <x:f>IF(OR(A267="",'02 Balance Sheet'!$B$2&lt;&gt;$A267),"",SUMIF('02 Balance Sheet'!$D:$D,"CNY",'02 Balance Sheet'!$H:$H))</x:f>
      </x:c>
      <x:c r="H267" s="14" t="str">
        <x:f>IF(OR(A267="",'02 Balance Sheet'!$B$2&lt;&gt;$A267),"",SUMIF('02 Balance Sheet'!$D:$D,"USD",'02 Balance Sheet'!$H:$H))</x:f>
      </x:c>
      <x:c r="I267" s="14" t="str">
        <x:f>IF(OR(A267="",'02 Balance Sheet'!$B$2&lt;&gt;$A267),"",SUMIF('02 Balance Sheet'!$D:$D,"HKD",'02 Balance Sheet'!$H:$H))</x:f>
      </x:c>
      <x:c r="J267" s="12" t="str">
        <x:f>IF(A267="","",IF(COUNT(G267:I267)&lt;3,"Awaiting Month-End Snapshot",IF(OR(B267="",D267=""),"Awaiting Monthly Inputs","Ready to Close")))</x:f>
      </x:c>
      <x:c r="K267" s="22"/>
    </x:row>
    <x:row r="268" ht="19.5" customHeight="1">
      <x:c r="A268" s="25"/>
      <x:c r="B268" s="19"/>
      <x:c r="C268" s="19"/>
      <x:c r="D268" s="19"/>
      <x:c r="E268" s="19"/>
      <x:c r="F268" s="14" t="str">
        <x:f>IF(OR(A268="",B268="",D268=""),"",SUM(B268:C268)-N(D268)+N(E268))</x:f>
      </x:c>
      <x:c r="G268" s="14" t="str">
        <x:f>IF(OR(A268="",'02 Balance Sheet'!$B$2&lt;&gt;$A268),"",SUMIF('02 Balance Sheet'!$D:$D,"CNY",'02 Balance Sheet'!$H:$H))</x:f>
      </x:c>
      <x:c r="H268" s="14" t="str">
        <x:f>IF(OR(A268="",'02 Balance Sheet'!$B$2&lt;&gt;$A268),"",SUMIF('02 Balance Sheet'!$D:$D,"USD",'02 Balance Sheet'!$H:$H))</x:f>
      </x:c>
      <x:c r="I268" s="14" t="str">
        <x:f>IF(OR(A268="",'02 Balance Sheet'!$B$2&lt;&gt;$A268),"",SUMIF('02 Balance Sheet'!$D:$D,"HKD",'02 Balance Sheet'!$H:$H))</x:f>
      </x:c>
      <x:c r="J268" s="12" t="str">
        <x:f>IF(A268="","",IF(COUNT(G268:I268)&lt;3,"Awaiting Month-End Snapshot",IF(OR(B268="",D268=""),"Awaiting Monthly Inputs","Ready to Close")))</x:f>
      </x:c>
      <x:c r="K268" s="22"/>
    </x:row>
    <x:row r="269" ht="19.5" customHeight="1">
      <x:c r="A269" s="25"/>
      <x:c r="B269" s="19"/>
      <x:c r="C269" s="19"/>
      <x:c r="D269" s="19"/>
      <x:c r="E269" s="19"/>
      <x:c r="F269" s="14" t="str">
        <x:f>IF(OR(A269="",B269="",D269=""),"",SUM(B269:C269)-N(D269)+N(E269))</x:f>
      </x:c>
      <x:c r="G269" s="14" t="str">
        <x:f>IF(OR(A269="",'02 Balance Sheet'!$B$2&lt;&gt;$A269),"",SUMIF('02 Balance Sheet'!$D:$D,"CNY",'02 Balance Sheet'!$H:$H))</x:f>
      </x:c>
      <x:c r="H269" s="14" t="str">
        <x:f>IF(OR(A269="",'02 Balance Sheet'!$B$2&lt;&gt;$A269),"",SUMIF('02 Balance Sheet'!$D:$D,"USD",'02 Balance Sheet'!$H:$H))</x:f>
      </x:c>
      <x:c r="I269" s="14" t="str">
        <x:f>IF(OR(A269="",'02 Balance Sheet'!$B$2&lt;&gt;$A269),"",SUMIF('02 Balance Sheet'!$D:$D,"HKD",'02 Balance Sheet'!$H:$H))</x:f>
      </x:c>
      <x:c r="J269" s="12" t="str">
        <x:f>IF(A269="","",IF(COUNT(G269:I269)&lt;3,"Awaiting Month-End Snapshot",IF(OR(B269="",D269=""),"Awaiting Monthly Inputs","Ready to Close")))</x:f>
      </x:c>
      <x:c r="K269" s="22"/>
    </x:row>
    <x:row r="270" ht="19.5" customHeight="1">
      <x:c r="A270" s="25"/>
      <x:c r="B270" s="19"/>
      <x:c r="C270" s="19"/>
      <x:c r="D270" s="19"/>
      <x:c r="E270" s="19"/>
      <x:c r="F270" s="14" t="str">
        <x:f>IF(OR(A270="",B270="",D270=""),"",SUM(B270:C270)-N(D270)+N(E270))</x:f>
      </x:c>
      <x:c r="G270" s="14" t="str">
        <x:f>IF(OR(A270="",'02 Balance Sheet'!$B$2&lt;&gt;$A270),"",SUMIF('02 Balance Sheet'!$D:$D,"CNY",'02 Balance Sheet'!$H:$H))</x:f>
      </x:c>
      <x:c r="H270" s="14" t="str">
        <x:f>IF(OR(A270="",'02 Balance Sheet'!$B$2&lt;&gt;$A270),"",SUMIF('02 Balance Sheet'!$D:$D,"USD",'02 Balance Sheet'!$H:$H))</x:f>
      </x:c>
      <x:c r="I270" s="14" t="str">
        <x:f>IF(OR(A270="",'02 Balance Sheet'!$B$2&lt;&gt;$A270),"",SUMIF('02 Balance Sheet'!$D:$D,"HKD",'02 Balance Sheet'!$H:$H))</x:f>
      </x:c>
      <x:c r="J270" s="12" t="str">
        <x:f>IF(A270="","",IF(COUNT(G270:I270)&lt;3,"Awaiting Month-End Snapshot",IF(OR(B270="",D270=""),"Awaiting Monthly Inputs","Ready to Close")))</x:f>
      </x:c>
      <x:c r="K270" s="22"/>
    </x:row>
    <x:row r="271" ht="19.5" customHeight="1">
      <x:c r="A271" s="25"/>
      <x:c r="B271" s="19"/>
      <x:c r="C271" s="19"/>
      <x:c r="D271" s="19"/>
      <x:c r="E271" s="19"/>
      <x:c r="F271" s="14" t="str">
        <x:f>IF(OR(A271="",B271="",D271=""),"",SUM(B271:C271)-N(D271)+N(E271))</x:f>
      </x:c>
      <x:c r="G271" s="14" t="str">
        <x:f>IF(OR(A271="",'02 Balance Sheet'!$B$2&lt;&gt;$A271),"",SUMIF('02 Balance Sheet'!$D:$D,"CNY",'02 Balance Sheet'!$H:$H))</x:f>
      </x:c>
      <x:c r="H271" s="14" t="str">
        <x:f>IF(OR(A271="",'02 Balance Sheet'!$B$2&lt;&gt;$A271),"",SUMIF('02 Balance Sheet'!$D:$D,"USD",'02 Balance Sheet'!$H:$H))</x:f>
      </x:c>
      <x:c r="I271" s="14" t="str">
        <x:f>IF(OR(A271="",'02 Balance Sheet'!$B$2&lt;&gt;$A271),"",SUMIF('02 Balance Sheet'!$D:$D,"HKD",'02 Balance Sheet'!$H:$H))</x:f>
      </x:c>
      <x:c r="J271" s="12" t="str">
        <x:f>IF(A271="","",IF(COUNT(G271:I271)&lt;3,"Awaiting Month-End Snapshot",IF(OR(B271="",D271=""),"Awaiting Monthly Inputs","Ready to Close")))</x:f>
      </x:c>
      <x:c r="K271" s="22"/>
    </x:row>
    <x:row r="272" ht="19.5" customHeight="1">
      <x:c r="A272" s="25"/>
      <x:c r="B272" s="19"/>
      <x:c r="C272" s="19"/>
      <x:c r="D272" s="19"/>
      <x:c r="E272" s="19"/>
      <x:c r="F272" s="14" t="str">
        <x:f>IF(OR(A272="",B272="",D272=""),"",SUM(B272:C272)-N(D272)+N(E272))</x:f>
      </x:c>
      <x:c r="G272" s="14" t="str">
        <x:f>IF(OR(A272="",'02 Balance Sheet'!$B$2&lt;&gt;$A272),"",SUMIF('02 Balance Sheet'!$D:$D,"CNY",'02 Balance Sheet'!$H:$H))</x:f>
      </x:c>
      <x:c r="H272" s="14" t="str">
        <x:f>IF(OR(A272="",'02 Balance Sheet'!$B$2&lt;&gt;$A272),"",SUMIF('02 Balance Sheet'!$D:$D,"USD",'02 Balance Sheet'!$H:$H))</x:f>
      </x:c>
      <x:c r="I272" s="14" t="str">
        <x:f>IF(OR(A272="",'02 Balance Sheet'!$B$2&lt;&gt;$A272),"",SUMIF('02 Balance Sheet'!$D:$D,"HKD",'02 Balance Sheet'!$H:$H))</x:f>
      </x:c>
      <x:c r="J272" s="12" t="str">
        <x:f>IF(A272="","",IF(COUNT(G272:I272)&lt;3,"Awaiting Month-End Snapshot",IF(OR(B272="",D272=""),"Awaiting Monthly Inputs","Ready to Close")))</x:f>
      </x:c>
      <x:c r="K272" s="22"/>
    </x:row>
    <x:row r="273" ht="19.5" customHeight="1">
      <x:c r="A273" s="25"/>
      <x:c r="B273" s="19"/>
      <x:c r="C273" s="19"/>
      <x:c r="D273" s="19"/>
      <x:c r="E273" s="19"/>
      <x:c r="F273" s="14" t="str">
        <x:f>IF(OR(A273="",B273="",D273=""),"",SUM(B273:C273)-N(D273)+N(E273))</x:f>
      </x:c>
      <x:c r="G273" s="14" t="str">
        <x:f>IF(OR(A273="",'02 Balance Sheet'!$B$2&lt;&gt;$A273),"",SUMIF('02 Balance Sheet'!$D:$D,"CNY",'02 Balance Sheet'!$H:$H))</x:f>
      </x:c>
      <x:c r="H273" s="14" t="str">
        <x:f>IF(OR(A273="",'02 Balance Sheet'!$B$2&lt;&gt;$A273),"",SUMIF('02 Balance Sheet'!$D:$D,"USD",'02 Balance Sheet'!$H:$H))</x:f>
      </x:c>
      <x:c r="I273" s="14" t="str">
        <x:f>IF(OR(A273="",'02 Balance Sheet'!$B$2&lt;&gt;$A273),"",SUMIF('02 Balance Sheet'!$D:$D,"HKD",'02 Balance Sheet'!$H:$H))</x:f>
      </x:c>
      <x:c r="J273" s="12" t="str">
        <x:f>IF(A273="","",IF(COUNT(G273:I273)&lt;3,"Awaiting Month-End Snapshot",IF(OR(B273="",D273=""),"Awaiting Monthly Inputs","Ready to Close")))</x:f>
      </x:c>
      <x:c r="K273" s="22"/>
    </x:row>
    <x:row r="274" ht="19.5" customHeight="1">
      <x:c r="A274" s="25"/>
      <x:c r="B274" s="19"/>
      <x:c r="C274" s="19"/>
      <x:c r="D274" s="19"/>
      <x:c r="E274" s="19"/>
      <x:c r="F274" s="14" t="str">
        <x:f>IF(OR(A274="",B274="",D274=""),"",SUM(B274:C274)-N(D274)+N(E274))</x:f>
      </x:c>
      <x:c r="G274" s="14" t="str">
        <x:f>IF(OR(A274="",'02 Balance Sheet'!$B$2&lt;&gt;$A274),"",SUMIF('02 Balance Sheet'!$D:$D,"CNY",'02 Balance Sheet'!$H:$H))</x:f>
      </x:c>
      <x:c r="H274" s="14" t="str">
        <x:f>IF(OR(A274="",'02 Balance Sheet'!$B$2&lt;&gt;$A274),"",SUMIF('02 Balance Sheet'!$D:$D,"USD",'02 Balance Sheet'!$H:$H))</x:f>
      </x:c>
      <x:c r="I274" s="14" t="str">
        <x:f>IF(OR(A274="",'02 Balance Sheet'!$B$2&lt;&gt;$A274),"",SUMIF('02 Balance Sheet'!$D:$D,"HKD",'02 Balance Sheet'!$H:$H))</x:f>
      </x:c>
      <x:c r="J274" s="12" t="str">
        <x:f>IF(A274="","",IF(COUNT(G274:I274)&lt;3,"Awaiting Month-End Snapshot",IF(OR(B274="",D274=""),"Awaiting Monthly Inputs","Ready to Close")))</x:f>
      </x:c>
      <x:c r="K274" s="22"/>
    </x:row>
    <x:row r="275" ht="19.5" customHeight="1">
      <x:c r="A275" s="25"/>
      <x:c r="B275" s="19"/>
      <x:c r="C275" s="19"/>
      <x:c r="D275" s="19"/>
      <x:c r="E275" s="19"/>
      <x:c r="F275" s="14" t="str">
        <x:f>IF(OR(A275="",B275="",D275=""),"",SUM(B275:C275)-N(D275)+N(E275))</x:f>
      </x:c>
      <x:c r="G275" s="14" t="str">
        <x:f>IF(OR(A275="",'02 Balance Sheet'!$B$2&lt;&gt;$A275),"",SUMIF('02 Balance Sheet'!$D:$D,"CNY",'02 Balance Sheet'!$H:$H))</x:f>
      </x:c>
      <x:c r="H275" s="14" t="str">
        <x:f>IF(OR(A275="",'02 Balance Sheet'!$B$2&lt;&gt;$A275),"",SUMIF('02 Balance Sheet'!$D:$D,"USD",'02 Balance Sheet'!$H:$H))</x:f>
      </x:c>
      <x:c r="I275" s="14" t="str">
        <x:f>IF(OR(A275="",'02 Balance Sheet'!$B$2&lt;&gt;$A275),"",SUMIF('02 Balance Sheet'!$D:$D,"HKD",'02 Balance Sheet'!$H:$H))</x:f>
      </x:c>
      <x:c r="J275" s="12" t="str">
        <x:f>IF(A275="","",IF(COUNT(G275:I275)&lt;3,"Awaiting Month-End Snapshot",IF(OR(B275="",D275=""),"Awaiting Monthly Inputs","Ready to Close")))</x:f>
      </x:c>
      <x:c r="K275" s="22"/>
    </x:row>
    <x:row r="276" ht="19.5" customHeight="1">
      <x:c r="A276" s="25"/>
      <x:c r="B276" s="19"/>
      <x:c r="C276" s="19"/>
      <x:c r="D276" s="19"/>
      <x:c r="E276" s="19"/>
      <x:c r="F276" s="14" t="str">
        <x:f>IF(OR(A276="",B276="",D276=""),"",SUM(B276:C276)-N(D276)+N(E276))</x:f>
      </x:c>
      <x:c r="G276" s="14" t="str">
        <x:f>IF(OR(A276="",'02 Balance Sheet'!$B$2&lt;&gt;$A276),"",SUMIF('02 Balance Sheet'!$D:$D,"CNY",'02 Balance Sheet'!$H:$H))</x:f>
      </x:c>
      <x:c r="H276" s="14" t="str">
        <x:f>IF(OR(A276="",'02 Balance Sheet'!$B$2&lt;&gt;$A276),"",SUMIF('02 Balance Sheet'!$D:$D,"USD",'02 Balance Sheet'!$H:$H))</x:f>
      </x:c>
      <x:c r="I276" s="14" t="str">
        <x:f>IF(OR(A276="",'02 Balance Sheet'!$B$2&lt;&gt;$A276),"",SUMIF('02 Balance Sheet'!$D:$D,"HKD",'02 Balance Sheet'!$H:$H))</x:f>
      </x:c>
      <x:c r="J276" s="12" t="str">
        <x:f>IF(A276="","",IF(COUNT(G276:I276)&lt;3,"Awaiting Month-End Snapshot",IF(OR(B276="",D276=""),"Awaiting Monthly Inputs","Ready to Close")))</x:f>
      </x:c>
      <x:c r="K276" s="22"/>
    </x:row>
    <x:row r="277" ht="19.5" customHeight="1">
      <x:c r="A277" s="25"/>
      <x:c r="B277" s="19"/>
      <x:c r="C277" s="19"/>
      <x:c r="D277" s="19"/>
      <x:c r="E277" s="19"/>
      <x:c r="F277" s="14" t="str">
        <x:f>IF(OR(A277="",B277="",D277=""),"",SUM(B277:C277)-N(D277)+N(E277))</x:f>
      </x:c>
      <x:c r="G277" s="14" t="str">
        <x:f>IF(OR(A277="",'02 Balance Sheet'!$B$2&lt;&gt;$A277),"",SUMIF('02 Balance Sheet'!$D:$D,"CNY",'02 Balance Sheet'!$H:$H))</x:f>
      </x:c>
      <x:c r="H277" s="14" t="str">
        <x:f>IF(OR(A277="",'02 Balance Sheet'!$B$2&lt;&gt;$A277),"",SUMIF('02 Balance Sheet'!$D:$D,"USD",'02 Balance Sheet'!$H:$H))</x:f>
      </x:c>
      <x:c r="I277" s="14" t="str">
        <x:f>IF(OR(A277="",'02 Balance Sheet'!$B$2&lt;&gt;$A277),"",SUMIF('02 Balance Sheet'!$D:$D,"HKD",'02 Balance Sheet'!$H:$H))</x:f>
      </x:c>
      <x:c r="J277" s="12" t="str">
        <x:f>IF(A277="","",IF(COUNT(G277:I277)&lt;3,"Awaiting Month-End Snapshot",IF(OR(B277="",D277=""),"Awaiting Monthly Inputs","Ready to Close")))</x:f>
      </x:c>
      <x:c r="K277" s="22"/>
    </x:row>
    <x:row r="278" ht="19.5" customHeight="1">
      <x:c r="A278" s="25"/>
      <x:c r="B278" s="19"/>
      <x:c r="C278" s="19"/>
      <x:c r="D278" s="19"/>
      <x:c r="E278" s="19"/>
      <x:c r="F278" s="14" t="str">
        <x:f>IF(OR(A278="",B278="",D278=""),"",SUM(B278:C278)-N(D278)+N(E278))</x:f>
      </x:c>
      <x:c r="G278" s="14" t="str">
        <x:f>IF(OR(A278="",'02 Balance Sheet'!$B$2&lt;&gt;$A278),"",SUMIF('02 Balance Sheet'!$D:$D,"CNY",'02 Balance Sheet'!$H:$H))</x:f>
      </x:c>
      <x:c r="H278" s="14" t="str">
        <x:f>IF(OR(A278="",'02 Balance Sheet'!$B$2&lt;&gt;$A278),"",SUMIF('02 Balance Sheet'!$D:$D,"USD",'02 Balance Sheet'!$H:$H))</x:f>
      </x:c>
      <x:c r="I278" s="14" t="str">
        <x:f>IF(OR(A278="",'02 Balance Sheet'!$B$2&lt;&gt;$A278),"",SUMIF('02 Balance Sheet'!$D:$D,"HKD",'02 Balance Sheet'!$H:$H))</x:f>
      </x:c>
      <x:c r="J278" s="12" t="str">
        <x:f>IF(A278="","",IF(COUNT(G278:I278)&lt;3,"Awaiting Month-End Snapshot",IF(OR(B278="",D278=""),"Awaiting Monthly Inputs","Ready to Close")))</x:f>
      </x:c>
      <x:c r="K278" s="22"/>
    </x:row>
    <x:row r="279" ht="19.5" customHeight="1">
      <x:c r="A279" s="25"/>
      <x:c r="B279" s="19"/>
      <x:c r="C279" s="19"/>
      <x:c r="D279" s="19"/>
      <x:c r="E279" s="19"/>
      <x:c r="F279" s="14" t="str">
        <x:f>IF(OR(A279="",B279="",D279=""),"",SUM(B279:C279)-N(D279)+N(E279))</x:f>
      </x:c>
      <x:c r="G279" s="14" t="str">
        <x:f>IF(OR(A279="",'02 Balance Sheet'!$B$2&lt;&gt;$A279),"",SUMIF('02 Balance Sheet'!$D:$D,"CNY",'02 Balance Sheet'!$H:$H))</x:f>
      </x:c>
      <x:c r="H279" s="14" t="str">
        <x:f>IF(OR(A279="",'02 Balance Sheet'!$B$2&lt;&gt;$A279),"",SUMIF('02 Balance Sheet'!$D:$D,"USD",'02 Balance Sheet'!$H:$H))</x:f>
      </x:c>
      <x:c r="I279" s="14" t="str">
        <x:f>IF(OR(A279="",'02 Balance Sheet'!$B$2&lt;&gt;$A279),"",SUMIF('02 Balance Sheet'!$D:$D,"HKD",'02 Balance Sheet'!$H:$H))</x:f>
      </x:c>
      <x:c r="J279" s="12" t="str">
        <x:f>IF(A279="","",IF(COUNT(G279:I279)&lt;3,"Awaiting Month-End Snapshot",IF(OR(B279="",D279=""),"Awaiting Monthly Inputs","Ready to Close")))</x:f>
      </x:c>
      <x:c r="K279" s="22"/>
    </x:row>
    <x:row r="280" ht="19.5" customHeight="1">
      <x:c r="A280" s="25"/>
      <x:c r="B280" s="19"/>
      <x:c r="C280" s="19"/>
      <x:c r="D280" s="19"/>
      <x:c r="E280" s="19"/>
      <x:c r="F280" s="14" t="str">
        <x:f>IF(OR(A280="",B280="",D280=""),"",SUM(B280:C280)-N(D280)+N(E280))</x:f>
      </x:c>
      <x:c r="G280" s="14" t="str">
        <x:f>IF(OR(A280="",'02 Balance Sheet'!$B$2&lt;&gt;$A280),"",SUMIF('02 Balance Sheet'!$D:$D,"CNY",'02 Balance Sheet'!$H:$H))</x:f>
      </x:c>
      <x:c r="H280" s="14" t="str">
        <x:f>IF(OR(A280="",'02 Balance Sheet'!$B$2&lt;&gt;$A280),"",SUMIF('02 Balance Sheet'!$D:$D,"USD",'02 Balance Sheet'!$H:$H))</x:f>
      </x:c>
      <x:c r="I280" s="14" t="str">
        <x:f>IF(OR(A280="",'02 Balance Sheet'!$B$2&lt;&gt;$A280),"",SUMIF('02 Balance Sheet'!$D:$D,"HKD",'02 Balance Sheet'!$H:$H))</x:f>
      </x:c>
      <x:c r="J280" s="12" t="str">
        <x:f>IF(A280="","",IF(COUNT(G280:I280)&lt;3,"Awaiting Month-End Snapshot",IF(OR(B280="",D280=""),"Awaiting Monthly Inputs","Ready to Close")))</x:f>
      </x:c>
      <x:c r="K280" s="22"/>
    </x:row>
    <x:row r="281" ht="19.5" customHeight="1">
      <x:c r="A281" s="25"/>
      <x:c r="B281" s="19"/>
      <x:c r="C281" s="19"/>
      <x:c r="D281" s="19"/>
      <x:c r="E281" s="19"/>
      <x:c r="F281" s="14" t="str">
        <x:f>IF(OR(A281="",B281="",D281=""),"",SUM(B281:C281)-N(D281)+N(E281))</x:f>
      </x:c>
      <x:c r="G281" s="14" t="str">
        <x:f>IF(OR(A281="",'02 Balance Sheet'!$B$2&lt;&gt;$A281),"",SUMIF('02 Balance Sheet'!$D:$D,"CNY",'02 Balance Sheet'!$H:$H))</x:f>
      </x:c>
      <x:c r="H281" s="14" t="str">
        <x:f>IF(OR(A281="",'02 Balance Sheet'!$B$2&lt;&gt;$A281),"",SUMIF('02 Balance Sheet'!$D:$D,"USD",'02 Balance Sheet'!$H:$H))</x:f>
      </x:c>
      <x:c r="I281" s="14" t="str">
        <x:f>IF(OR(A281="",'02 Balance Sheet'!$B$2&lt;&gt;$A281),"",SUMIF('02 Balance Sheet'!$D:$D,"HKD",'02 Balance Sheet'!$H:$H))</x:f>
      </x:c>
      <x:c r="J281" s="12" t="str">
        <x:f>IF(A281="","",IF(COUNT(G281:I281)&lt;3,"Awaiting Month-End Snapshot",IF(OR(B281="",D281=""),"Awaiting Monthly Inputs","Ready to Close")))</x:f>
      </x:c>
      <x:c r="K281" s="22"/>
    </x:row>
    <x:row r="282" ht="19.5" customHeight="1">
      <x:c r="A282" s="25"/>
      <x:c r="B282" s="19"/>
      <x:c r="C282" s="19"/>
      <x:c r="D282" s="19"/>
      <x:c r="E282" s="19"/>
      <x:c r="F282" s="14" t="str">
        <x:f>IF(OR(A282="",B282="",D282=""),"",SUM(B282:C282)-N(D282)+N(E282))</x:f>
      </x:c>
      <x:c r="G282" s="14" t="str">
        <x:f>IF(OR(A282="",'02 Balance Sheet'!$B$2&lt;&gt;$A282),"",SUMIF('02 Balance Sheet'!$D:$D,"CNY",'02 Balance Sheet'!$H:$H))</x:f>
      </x:c>
      <x:c r="H282" s="14" t="str">
        <x:f>IF(OR(A282="",'02 Balance Sheet'!$B$2&lt;&gt;$A282),"",SUMIF('02 Balance Sheet'!$D:$D,"USD",'02 Balance Sheet'!$H:$H))</x:f>
      </x:c>
      <x:c r="I282" s="14" t="str">
        <x:f>IF(OR(A282="",'02 Balance Sheet'!$B$2&lt;&gt;$A282),"",SUMIF('02 Balance Sheet'!$D:$D,"HKD",'02 Balance Sheet'!$H:$H))</x:f>
      </x:c>
      <x:c r="J282" s="12" t="str">
        <x:f>IF(A282="","",IF(COUNT(G282:I282)&lt;3,"Awaiting Month-End Snapshot",IF(OR(B282="",D282=""),"Awaiting Monthly Inputs","Ready to Close")))</x:f>
      </x:c>
      <x:c r="K282" s="22"/>
    </x:row>
    <x:row r="283" ht="19.5" customHeight="1">
      <x:c r="A283" s="25"/>
      <x:c r="B283" s="19"/>
      <x:c r="C283" s="19"/>
      <x:c r="D283" s="19"/>
      <x:c r="E283" s="19"/>
      <x:c r="F283" s="14" t="str">
        <x:f>IF(OR(A283="",B283="",D283=""),"",SUM(B283:C283)-N(D283)+N(E283))</x:f>
      </x:c>
      <x:c r="G283" s="14" t="str">
        <x:f>IF(OR(A283="",'02 Balance Sheet'!$B$2&lt;&gt;$A283),"",SUMIF('02 Balance Sheet'!$D:$D,"CNY",'02 Balance Sheet'!$H:$H))</x:f>
      </x:c>
      <x:c r="H283" s="14" t="str">
        <x:f>IF(OR(A283="",'02 Balance Sheet'!$B$2&lt;&gt;$A283),"",SUMIF('02 Balance Sheet'!$D:$D,"USD",'02 Balance Sheet'!$H:$H))</x:f>
      </x:c>
      <x:c r="I283" s="14" t="str">
        <x:f>IF(OR(A283="",'02 Balance Sheet'!$B$2&lt;&gt;$A283),"",SUMIF('02 Balance Sheet'!$D:$D,"HKD",'02 Balance Sheet'!$H:$H))</x:f>
      </x:c>
      <x:c r="J283" s="12" t="str">
        <x:f>IF(A283="","",IF(COUNT(G283:I283)&lt;3,"Awaiting Month-End Snapshot",IF(OR(B283="",D283=""),"Awaiting Monthly Inputs","Ready to Close")))</x:f>
      </x:c>
      <x:c r="K283" s="22"/>
    </x:row>
    <x:row r="284" ht="19.5" customHeight="1">
      <x:c r="A284" s="25"/>
      <x:c r="B284" s="19"/>
      <x:c r="C284" s="19"/>
      <x:c r="D284" s="19"/>
      <x:c r="E284" s="19"/>
      <x:c r="F284" s="14" t="str">
        <x:f>IF(OR(A284="",B284="",D284=""),"",SUM(B284:C284)-N(D284)+N(E284))</x:f>
      </x:c>
      <x:c r="G284" s="14" t="str">
        <x:f>IF(OR(A284="",'02 Balance Sheet'!$B$2&lt;&gt;$A284),"",SUMIF('02 Balance Sheet'!$D:$D,"CNY",'02 Balance Sheet'!$H:$H))</x:f>
      </x:c>
      <x:c r="H284" s="14" t="str">
        <x:f>IF(OR(A284="",'02 Balance Sheet'!$B$2&lt;&gt;$A284),"",SUMIF('02 Balance Sheet'!$D:$D,"USD",'02 Balance Sheet'!$H:$H))</x:f>
      </x:c>
      <x:c r="I284" s="14" t="str">
        <x:f>IF(OR(A284="",'02 Balance Sheet'!$B$2&lt;&gt;$A284),"",SUMIF('02 Balance Sheet'!$D:$D,"HKD",'02 Balance Sheet'!$H:$H))</x:f>
      </x:c>
      <x:c r="J284" s="12" t="str">
        <x:f>IF(A284="","",IF(COUNT(G284:I284)&lt;3,"Awaiting Month-End Snapshot",IF(OR(B284="",D284=""),"Awaiting Monthly Inputs","Ready to Close")))</x:f>
      </x:c>
      <x:c r="K284" s="22"/>
    </x:row>
    <x:row r="285" ht="19.5" customHeight="1">
      <x:c r="A285" s="25"/>
      <x:c r="B285" s="19"/>
      <x:c r="C285" s="19"/>
      <x:c r="D285" s="19"/>
      <x:c r="E285" s="19"/>
      <x:c r="F285" s="14" t="str">
        <x:f>IF(OR(A285="",B285="",D285=""),"",SUM(B285:C285)-N(D285)+N(E285))</x:f>
      </x:c>
      <x:c r="G285" s="14" t="str">
        <x:f>IF(OR(A285="",'02 Balance Sheet'!$B$2&lt;&gt;$A285),"",SUMIF('02 Balance Sheet'!$D:$D,"CNY",'02 Balance Sheet'!$H:$H))</x:f>
      </x:c>
      <x:c r="H285" s="14" t="str">
        <x:f>IF(OR(A285="",'02 Balance Sheet'!$B$2&lt;&gt;$A285),"",SUMIF('02 Balance Sheet'!$D:$D,"USD",'02 Balance Sheet'!$H:$H))</x:f>
      </x:c>
      <x:c r="I285" s="14" t="str">
        <x:f>IF(OR(A285="",'02 Balance Sheet'!$B$2&lt;&gt;$A285),"",SUMIF('02 Balance Sheet'!$D:$D,"HKD",'02 Balance Sheet'!$H:$H))</x:f>
      </x:c>
      <x:c r="J285" s="12" t="str">
        <x:f>IF(A285="","",IF(COUNT(G285:I285)&lt;3,"Awaiting Month-End Snapshot",IF(OR(B285="",D285=""),"Awaiting Monthly Inputs","Ready to Close")))</x:f>
      </x:c>
      <x:c r="K285" s="22"/>
    </x:row>
    <x:row r="286" ht="19.5" customHeight="1">
      <x:c r="A286" s="25"/>
      <x:c r="B286" s="19"/>
      <x:c r="C286" s="19"/>
      <x:c r="D286" s="19"/>
      <x:c r="E286" s="19"/>
      <x:c r="F286" s="14" t="str">
        <x:f>IF(OR(A286="",B286="",D286=""),"",SUM(B286:C286)-N(D286)+N(E286))</x:f>
      </x:c>
      <x:c r="G286" s="14" t="str">
        <x:f>IF(OR(A286="",'02 Balance Sheet'!$B$2&lt;&gt;$A286),"",SUMIF('02 Balance Sheet'!$D:$D,"CNY",'02 Balance Sheet'!$H:$H))</x:f>
      </x:c>
      <x:c r="H286" s="14" t="str">
        <x:f>IF(OR(A286="",'02 Balance Sheet'!$B$2&lt;&gt;$A286),"",SUMIF('02 Balance Sheet'!$D:$D,"USD",'02 Balance Sheet'!$H:$H))</x:f>
      </x:c>
      <x:c r="I286" s="14" t="str">
        <x:f>IF(OR(A286="",'02 Balance Sheet'!$B$2&lt;&gt;$A286),"",SUMIF('02 Balance Sheet'!$D:$D,"HKD",'02 Balance Sheet'!$H:$H))</x:f>
      </x:c>
      <x:c r="J286" s="12" t="str">
        <x:f>IF(A286="","",IF(COUNT(G286:I286)&lt;3,"Awaiting Month-End Snapshot",IF(OR(B286="",D286=""),"Awaiting Monthly Inputs","Ready to Close")))</x:f>
      </x:c>
      <x:c r="K286" s="22"/>
    </x:row>
    <x:row r="287" ht="19.5" customHeight="1">
      <x:c r="A287" s="25"/>
      <x:c r="B287" s="19"/>
      <x:c r="C287" s="19"/>
      <x:c r="D287" s="19"/>
      <x:c r="E287" s="19"/>
      <x:c r="F287" s="14" t="str">
        <x:f>IF(OR(A287="",B287="",D287=""),"",SUM(B287:C287)-N(D287)+N(E287))</x:f>
      </x:c>
      <x:c r="G287" s="14" t="str">
        <x:f>IF(OR(A287="",'02 Balance Sheet'!$B$2&lt;&gt;$A287),"",SUMIF('02 Balance Sheet'!$D:$D,"CNY",'02 Balance Sheet'!$H:$H))</x:f>
      </x:c>
      <x:c r="H287" s="14" t="str">
        <x:f>IF(OR(A287="",'02 Balance Sheet'!$B$2&lt;&gt;$A287),"",SUMIF('02 Balance Sheet'!$D:$D,"USD",'02 Balance Sheet'!$H:$H))</x:f>
      </x:c>
      <x:c r="I287" s="14" t="str">
        <x:f>IF(OR(A287="",'02 Balance Sheet'!$B$2&lt;&gt;$A287),"",SUMIF('02 Balance Sheet'!$D:$D,"HKD",'02 Balance Sheet'!$H:$H))</x:f>
      </x:c>
      <x:c r="J287" s="12" t="str">
        <x:f>IF(A287="","",IF(COUNT(G287:I287)&lt;3,"Awaiting Month-End Snapshot",IF(OR(B287="",D287=""),"Awaiting Monthly Inputs","Ready to Close")))</x:f>
      </x:c>
      <x:c r="K287" s="22"/>
    </x:row>
    <x:row r="288" ht="19.5" customHeight="1">
      <x:c r="A288" s="25"/>
      <x:c r="B288" s="19"/>
      <x:c r="C288" s="19"/>
      <x:c r="D288" s="19"/>
      <x:c r="E288" s="19"/>
      <x:c r="F288" s="14" t="str">
        <x:f>IF(OR(A288="",B288="",D288=""),"",SUM(B288:C288)-N(D288)+N(E288))</x:f>
      </x:c>
      <x:c r="G288" s="14" t="str">
        <x:f>IF(OR(A288="",'02 Balance Sheet'!$B$2&lt;&gt;$A288),"",SUMIF('02 Balance Sheet'!$D:$D,"CNY",'02 Balance Sheet'!$H:$H))</x:f>
      </x:c>
      <x:c r="H288" s="14" t="str">
        <x:f>IF(OR(A288="",'02 Balance Sheet'!$B$2&lt;&gt;$A288),"",SUMIF('02 Balance Sheet'!$D:$D,"USD",'02 Balance Sheet'!$H:$H))</x:f>
      </x:c>
      <x:c r="I288" s="14" t="str">
        <x:f>IF(OR(A288="",'02 Balance Sheet'!$B$2&lt;&gt;$A288),"",SUMIF('02 Balance Sheet'!$D:$D,"HKD",'02 Balance Sheet'!$H:$H))</x:f>
      </x:c>
      <x:c r="J288" s="12" t="str">
        <x:f>IF(A288="","",IF(COUNT(G288:I288)&lt;3,"Awaiting Month-End Snapshot",IF(OR(B288="",D288=""),"Awaiting Monthly Inputs","Ready to Close")))</x:f>
      </x:c>
      <x:c r="K288" s="22"/>
    </x:row>
    <x:row r="289" ht="19.5" customHeight="1">
      <x:c r="A289" s="25"/>
      <x:c r="B289" s="19"/>
      <x:c r="C289" s="19"/>
      <x:c r="D289" s="19"/>
      <x:c r="E289" s="19"/>
      <x:c r="F289" s="14" t="str">
        <x:f>IF(OR(A289="",B289="",D289=""),"",SUM(B289:C289)-N(D289)+N(E289))</x:f>
      </x:c>
      <x:c r="G289" s="14" t="str">
        <x:f>IF(OR(A289="",'02 Balance Sheet'!$B$2&lt;&gt;$A289),"",SUMIF('02 Balance Sheet'!$D:$D,"CNY",'02 Balance Sheet'!$H:$H))</x:f>
      </x:c>
      <x:c r="H289" s="14" t="str">
        <x:f>IF(OR(A289="",'02 Balance Sheet'!$B$2&lt;&gt;$A289),"",SUMIF('02 Balance Sheet'!$D:$D,"USD",'02 Balance Sheet'!$H:$H))</x:f>
      </x:c>
      <x:c r="I289" s="14" t="str">
        <x:f>IF(OR(A289="",'02 Balance Sheet'!$B$2&lt;&gt;$A289),"",SUMIF('02 Balance Sheet'!$D:$D,"HKD",'02 Balance Sheet'!$H:$H))</x:f>
      </x:c>
      <x:c r="J289" s="12" t="str">
        <x:f>IF(A289="","",IF(COUNT(G289:I289)&lt;3,"Awaiting Month-End Snapshot",IF(OR(B289="",D289=""),"Awaiting Monthly Inputs","Ready to Close")))</x:f>
      </x:c>
      <x:c r="K289" s="22"/>
    </x:row>
    <x:row r="290" ht="19.5" customHeight="1">
      <x:c r="A290" s="25"/>
      <x:c r="B290" s="19"/>
      <x:c r="C290" s="19"/>
      <x:c r="D290" s="19"/>
      <x:c r="E290" s="19"/>
      <x:c r="F290" s="14" t="str">
        <x:f>IF(OR(A290="",B290="",D290=""),"",SUM(B290:C290)-N(D290)+N(E290))</x:f>
      </x:c>
      <x:c r="G290" s="14" t="str">
        <x:f>IF(OR(A290="",'02 Balance Sheet'!$B$2&lt;&gt;$A290),"",SUMIF('02 Balance Sheet'!$D:$D,"CNY",'02 Balance Sheet'!$H:$H))</x:f>
      </x:c>
      <x:c r="H290" s="14" t="str">
        <x:f>IF(OR(A290="",'02 Balance Sheet'!$B$2&lt;&gt;$A290),"",SUMIF('02 Balance Sheet'!$D:$D,"USD",'02 Balance Sheet'!$H:$H))</x:f>
      </x:c>
      <x:c r="I290" s="14" t="str">
        <x:f>IF(OR(A290="",'02 Balance Sheet'!$B$2&lt;&gt;$A290),"",SUMIF('02 Balance Sheet'!$D:$D,"HKD",'02 Balance Sheet'!$H:$H))</x:f>
      </x:c>
      <x:c r="J290" s="12" t="str">
        <x:f>IF(A290="","",IF(COUNT(G290:I290)&lt;3,"Awaiting Month-End Snapshot",IF(OR(B290="",D290=""),"Awaiting Monthly Inputs","Ready to Close")))</x:f>
      </x:c>
      <x:c r="K290" s="22"/>
    </x:row>
    <x:row r="291" ht="19.5" customHeight="1">
      <x:c r="A291" s="25"/>
      <x:c r="B291" s="19"/>
      <x:c r="C291" s="19"/>
      <x:c r="D291" s="19"/>
      <x:c r="E291" s="19"/>
      <x:c r="F291" s="14" t="str">
        <x:f>IF(OR(A291="",B291="",D291=""),"",SUM(B291:C291)-N(D291)+N(E291))</x:f>
      </x:c>
      <x:c r="G291" s="14" t="str">
        <x:f>IF(OR(A291="",'02 Balance Sheet'!$B$2&lt;&gt;$A291),"",SUMIF('02 Balance Sheet'!$D:$D,"CNY",'02 Balance Sheet'!$H:$H))</x:f>
      </x:c>
      <x:c r="H291" s="14" t="str">
        <x:f>IF(OR(A291="",'02 Balance Sheet'!$B$2&lt;&gt;$A291),"",SUMIF('02 Balance Sheet'!$D:$D,"USD",'02 Balance Sheet'!$H:$H))</x:f>
      </x:c>
      <x:c r="I291" s="14" t="str">
        <x:f>IF(OR(A291="",'02 Balance Sheet'!$B$2&lt;&gt;$A291),"",SUMIF('02 Balance Sheet'!$D:$D,"HKD",'02 Balance Sheet'!$H:$H))</x:f>
      </x:c>
      <x:c r="J291" s="12" t="str">
        <x:f>IF(A291="","",IF(COUNT(G291:I291)&lt;3,"Awaiting Month-End Snapshot",IF(OR(B291="",D291=""),"Awaiting Monthly Inputs","Ready to Close")))</x:f>
      </x:c>
      <x:c r="K291" s="22"/>
    </x:row>
    <x:row r="292" ht="19.5" customHeight="1">
      <x:c r="A292" s="25"/>
      <x:c r="B292" s="19"/>
      <x:c r="C292" s="19"/>
      <x:c r="D292" s="19"/>
      <x:c r="E292" s="19"/>
      <x:c r="F292" s="14" t="str">
        <x:f>IF(OR(A292="",B292="",D292=""),"",SUM(B292:C292)-N(D292)+N(E292))</x:f>
      </x:c>
      <x:c r="G292" s="14" t="str">
        <x:f>IF(OR(A292="",'02 Balance Sheet'!$B$2&lt;&gt;$A292),"",SUMIF('02 Balance Sheet'!$D:$D,"CNY",'02 Balance Sheet'!$H:$H))</x:f>
      </x:c>
      <x:c r="H292" s="14" t="str">
        <x:f>IF(OR(A292="",'02 Balance Sheet'!$B$2&lt;&gt;$A292),"",SUMIF('02 Balance Sheet'!$D:$D,"USD",'02 Balance Sheet'!$H:$H))</x:f>
      </x:c>
      <x:c r="I292" s="14" t="str">
        <x:f>IF(OR(A292="",'02 Balance Sheet'!$B$2&lt;&gt;$A292),"",SUMIF('02 Balance Sheet'!$D:$D,"HKD",'02 Balance Sheet'!$H:$H))</x:f>
      </x:c>
      <x:c r="J292" s="12" t="str">
        <x:f>IF(A292="","",IF(COUNT(G292:I292)&lt;3,"Awaiting Month-End Snapshot",IF(OR(B292="",D292=""),"Awaiting Monthly Inputs","Ready to Close")))</x:f>
      </x:c>
      <x:c r="K292" s="22"/>
    </x:row>
    <x:row r="293" ht="19.5" customHeight="1">
      <x:c r="A293" s="25"/>
      <x:c r="B293" s="19"/>
      <x:c r="C293" s="19"/>
      <x:c r="D293" s="19"/>
      <x:c r="E293" s="19"/>
      <x:c r="F293" s="14" t="str">
        <x:f>IF(OR(A293="",B293="",D293=""),"",SUM(B293:C293)-N(D293)+N(E293))</x:f>
      </x:c>
      <x:c r="G293" s="14" t="str">
        <x:f>IF(OR(A293="",'02 Balance Sheet'!$B$2&lt;&gt;$A293),"",SUMIF('02 Balance Sheet'!$D:$D,"CNY",'02 Balance Sheet'!$H:$H))</x:f>
      </x:c>
      <x:c r="H293" s="14" t="str">
        <x:f>IF(OR(A293="",'02 Balance Sheet'!$B$2&lt;&gt;$A293),"",SUMIF('02 Balance Sheet'!$D:$D,"USD",'02 Balance Sheet'!$H:$H))</x:f>
      </x:c>
      <x:c r="I293" s="14" t="str">
        <x:f>IF(OR(A293="",'02 Balance Sheet'!$B$2&lt;&gt;$A293),"",SUMIF('02 Balance Sheet'!$D:$D,"HKD",'02 Balance Sheet'!$H:$H))</x:f>
      </x:c>
      <x:c r="J293" s="12" t="str">
        <x:f>IF(A293="","",IF(COUNT(G293:I293)&lt;3,"Awaiting Month-End Snapshot",IF(OR(B293="",D293=""),"Awaiting Monthly Inputs","Ready to Close")))</x:f>
      </x:c>
      <x:c r="K293" s="22"/>
    </x:row>
    <x:row r="294" ht="19.5" customHeight="1">
      <x:c r="A294" s="25"/>
      <x:c r="B294" s="19"/>
      <x:c r="C294" s="19"/>
      <x:c r="D294" s="19"/>
      <x:c r="E294" s="19"/>
      <x:c r="F294" s="14" t="str">
        <x:f>IF(OR(A294="",B294="",D294=""),"",SUM(B294:C294)-N(D294)+N(E294))</x:f>
      </x:c>
      <x:c r="G294" s="14" t="str">
        <x:f>IF(OR(A294="",'02 Balance Sheet'!$B$2&lt;&gt;$A294),"",SUMIF('02 Balance Sheet'!$D:$D,"CNY",'02 Balance Sheet'!$H:$H))</x:f>
      </x:c>
      <x:c r="H294" s="14" t="str">
        <x:f>IF(OR(A294="",'02 Balance Sheet'!$B$2&lt;&gt;$A294),"",SUMIF('02 Balance Sheet'!$D:$D,"USD",'02 Balance Sheet'!$H:$H))</x:f>
      </x:c>
      <x:c r="I294" s="14" t="str">
        <x:f>IF(OR(A294="",'02 Balance Sheet'!$B$2&lt;&gt;$A294),"",SUMIF('02 Balance Sheet'!$D:$D,"HKD",'02 Balance Sheet'!$H:$H))</x:f>
      </x:c>
      <x:c r="J294" s="12" t="str">
        <x:f>IF(A294="","",IF(COUNT(G294:I294)&lt;3,"Awaiting Month-End Snapshot",IF(OR(B294="",D294=""),"Awaiting Monthly Inputs","Ready to Close")))</x:f>
      </x:c>
      <x:c r="K294" s="22"/>
    </x:row>
    <x:row r="295" ht="19.5" customHeight="1">
      <x:c r="A295" s="25"/>
      <x:c r="B295" s="19"/>
      <x:c r="C295" s="19"/>
      <x:c r="D295" s="19"/>
      <x:c r="E295" s="19"/>
      <x:c r="F295" s="14" t="str">
        <x:f>IF(OR(A295="",B295="",D295=""),"",SUM(B295:C295)-N(D295)+N(E295))</x:f>
      </x:c>
      <x:c r="G295" s="14" t="str">
        <x:f>IF(OR(A295="",'02 Balance Sheet'!$B$2&lt;&gt;$A295),"",SUMIF('02 Balance Sheet'!$D:$D,"CNY",'02 Balance Sheet'!$H:$H))</x:f>
      </x:c>
      <x:c r="H295" s="14" t="str">
        <x:f>IF(OR(A295="",'02 Balance Sheet'!$B$2&lt;&gt;$A295),"",SUMIF('02 Balance Sheet'!$D:$D,"USD",'02 Balance Sheet'!$H:$H))</x:f>
      </x:c>
      <x:c r="I295" s="14" t="str">
        <x:f>IF(OR(A295="",'02 Balance Sheet'!$B$2&lt;&gt;$A295),"",SUMIF('02 Balance Sheet'!$D:$D,"HKD",'02 Balance Sheet'!$H:$H))</x:f>
      </x:c>
      <x:c r="J295" s="12" t="str">
        <x:f>IF(A295="","",IF(COUNT(G295:I295)&lt;3,"Awaiting Month-End Snapshot",IF(OR(B295="",D295=""),"Awaiting Monthly Inputs","Ready to Close")))</x:f>
      </x:c>
      <x:c r="K295" s="22"/>
    </x:row>
    <x:row r="296" ht="19.5" customHeight="1">
      <x:c r="A296" s="25"/>
      <x:c r="B296" s="19"/>
      <x:c r="C296" s="19"/>
      <x:c r="D296" s="19"/>
      <x:c r="E296" s="19"/>
      <x:c r="F296" s="14" t="str">
        <x:f>IF(OR(A296="",B296="",D296=""),"",SUM(B296:C296)-N(D296)+N(E296))</x:f>
      </x:c>
      <x:c r="G296" s="14" t="str">
        <x:f>IF(OR(A296="",'02 Balance Sheet'!$B$2&lt;&gt;$A296),"",SUMIF('02 Balance Sheet'!$D:$D,"CNY",'02 Balance Sheet'!$H:$H))</x:f>
      </x:c>
      <x:c r="H296" s="14" t="str">
        <x:f>IF(OR(A296="",'02 Balance Sheet'!$B$2&lt;&gt;$A296),"",SUMIF('02 Balance Sheet'!$D:$D,"USD",'02 Balance Sheet'!$H:$H))</x:f>
      </x:c>
      <x:c r="I296" s="14" t="str">
        <x:f>IF(OR(A296="",'02 Balance Sheet'!$B$2&lt;&gt;$A296),"",SUMIF('02 Balance Sheet'!$D:$D,"HKD",'02 Balance Sheet'!$H:$H))</x:f>
      </x:c>
      <x:c r="J296" s="12" t="str">
        <x:f>IF(A296="","",IF(COUNT(G296:I296)&lt;3,"Awaiting Month-End Snapshot",IF(OR(B296="",D296=""),"Awaiting Monthly Inputs","Ready to Close")))</x:f>
      </x:c>
      <x:c r="K296" s="22"/>
    </x:row>
    <x:row r="297" ht="19.5" customHeight="1">
      <x:c r="A297" s="25"/>
      <x:c r="B297" s="19"/>
      <x:c r="C297" s="19"/>
      <x:c r="D297" s="19"/>
      <x:c r="E297" s="19"/>
      <x:c r="F297" s="14" t="str">
        <x:f>IF(OR(A297="",B297="",D297=""),"",SUM(B297:C297)-N(D297)+N(E297))</x:f>
      </x:c>
      <x:c r="G297" s="14" t="str">
        <x:f>IF(OR(A297="",'02 Balance Sheet'!$B$2&lt;&gt;$A297),"",SUMIF('02 Balance Sheet'!$D:$D,"CNY",'02 Balance Sheet'!$H:$H))</x:f>
      </x:c>
      <x:c r="H297" s="14" t="str">
        <x:f>IF(OR(A297="",'02 Balance Sheet'!$B$2&lt;&gt;$A297),"",SUMIF('02 Balance Sheet'!$D:$D,"USD",'02 Balance Sheet'!$H:$H))</x:f>
      </x:c>
      <x:c r="I297" s="14" t="str">
        <x:f>IF(OR(A297="",'02 Balance Sheet'!$B$2&lt;&gt;$A297),"",SUMIF('02 Balance Sheet'!$D:$D,"HKD",'02 Balance Sheet'!$H:$H))</x:f>
      </x:c>
      <x:c r="J297" s="12" t="str">
        <x:f>IF(A297="","",IF(COUNT(G297:I297)&lt;3,"Awaiting Month-End Snapshot",IF(OR(B297="",D297=""),"Awaiting Monthly Inputs","Ready to Close")))</x:f>
      </x:c>
      <x:c r="K297" s="22"/>
    </x:row>
    <x:row r="298" ht="19.5" customHeight="1">
      <x:c r="A298" s="25"/>
      <x:c r="B298" s="19"/>
      <x:c r="C298" s="19"/>
      <x:c r="D298" s="19"/>
      <x:c r="E298" s="19"/>
      <x:c r="F298" s="14" t="str">
        <x:f>IF(OR(A298="",B298="",D298=""),"",SUM(B298:C298)-N(D298)+N(E298))</x:f>
      </x:c>
      <x:c r="G298" s="14" t="str">
        <x:f>IF(OR(A298="",'02 Balance Sheet'!$B$2&lt;&gt;$A298),"",SUMIF('02 Balance Sheet'!$D:$D,"CNY",'02 Balance Sheet'!$H:$H))</x:f>
      </x:c>
      <x:c r="H298" s="14" t="str">
        <x:f>IF(OR(A298="",'02 Balance Sheet'!$B$2&lt;&gt;$A298),"",SUMIF('02 Balance Sheet'!$D:$D,"USD",'02 Balance Sheet'!$H:$H))</x:f>
      </x:c>
      <x:c r="I298" s="14" t="str">
        <x:f>IF(OR(A298="",'02 Balance Sheet'!$B$2&lt;&gt;$A298),"",SUMIF('02 Balance Sheet'!$D:$D,"HKD",'02 Balance Sheet'!$H:$H))</x:f>
      </x:c>
      <x:c r="J298" s="12" t="str">
        <x:f>IF(A298="","",IF(COUNT(G298:I298)&lt;3,"Awaiting Month-End Snapshot",IF(OR(B298="",D298=""),"Awaiting Monthly Inputs","Ready to Close")))</x:f>
      </x:c>
      <x:c r="K298" s="22"/>
    </x:row>
    <x:row r="299" ht="19.5" customHeight="1">
      <x:c r="A299" s="25"/>
      <x:c r="B299" s="19"/>
      <x:c r="C299" s="19"/>
      <x:c r="D299" s="19"/>
      <x:c r="E299" s="19"/>
      <x:c r="F299" s="14" t="str">
        <x:f>IF(OR(A299="",B299="",D299=""),"",SUM(B299:C299)-N(D299)+N(E299))</x:f>
      </x:c>
      <x:c r="G299" s="14" t="str">
        <x:f>IF(OR(A299="",'02 Balance Sheet'!$B$2&lt;&gt;$A299),"",SUMIF('02 Balance Sheet'!$D:$D,"CNY",'02 Balance Sheet'!$H:$H))</x:f>
      </x:c>
      <x:c r="H299" s="14" t="str">
        <x:f>IF(OR(A299="",'02 Balance Sheet'!$B$2&lt;&gt;$A299),"",SUMIF('02 Balance Sheet'!$D:$D,"USD",'02 Balance Sheet'!$H:$H))</x:f>
      </x:c>
      <x:c r="I299" s="14" t="str">
        <x:f>IF(OR(A299="",'02 Balance Sheet'!$B$2&lt;&gt;$A299),"",SUMIF('02 Balance Sheet'!$D:$D,"HKD",'02 Balance Sheet'!$H:$H))</x:f>
      </x:c>
      <x:c r="J299" s="12" t="str">
        <x:f>IF(A299="","",IF(COUNT(G299:I299)&lt;3,"Awaiting Month-End Snapshot",IF(OR(B299="",D299=""),"Awaiting Monthly Inputs","Ready to Close")))</x:f>
      </x:c>
      <x:c r="K299" s="22"/>
    </x:row>
    <x:row r="300" ht="19.5" customHeight="1">
      <x:c r="A300" s="25"/>
      <x:c r="B300" s="19"/>
      <x:c r="C300" s="19"/>
      <x:c r="D300" s="19"/>
      <x:c r="E300" s="19"/>
      <x:c r="F300" s="14" t="str">
        <x:f>IF(OR(A300="",B300="",D300=""),"",SUM(B300:C300)-N(D300)+N(E300))</x:f>
      </x:c>
      <x:c r="G300" s="14" t="str">
        <x:f>IF(OR(A300="",'02 Balance Sheet'!$B$2&lt;&gt;$A300),"",SUMIF('02 Balance Sheet'!$D:$D,"CNY",'02 Balance Sheet'!$H:$H))</x:f>
      </x:c>
      <x:c r="H300" s="14" t="str">
        <x:f>IF(OR(A300="",'02 Balance Sheet'!$B$2&lt;&gt;$A300),"",SUMIF('02 Balance Sheet'!$D:$D,"USD",'02 Balance Sheet'!$H:$H))</x:f>
      </x:c>
      <x:c r="I300" s="14" t="str">
        <x:f>IF(OR(A300="",'02 Balance Sheet'!$B$2&lt;&gt;$A300),"",SUMIF('02 Balance Sheet'!$D:$D,"HKD",'02 Balance Sheet'!$H:$H))</x:f>
      </x:c>
      <x:c r="J300" s="12" t="str">
        <x:f>IF(A300="","",IF(COUNT(G300:I300)&lt;3,"Awaiting Month-End Snapshot",IF(OR(B300="",D300=""),"Awaiting Monthly Inputs","Ready to Close")))</x:f>
      </x:c>
      <x:c r="K300" s="22"/>
    </x:row>
    <x:row r="301" ht="19.5" customHeight="1">
      <x:c r="A301" s="25"/>
      <x:c r="B301" s="19"/>
      <x:c r="C301" s="19"/>
      <x:c r="D301" s="19"/>
      <x:c r="E301" s="19"/>
      <x:c r="F301" s="14" t="str">
        <x:f>IF(OR(A301="",B301="",D301=""),"",SUM(B301:C301)-N(D301)+N(E301))</x:f>
      </x:c>
      <x:c r="G301" s="14" t="str">
        <x:f>IF(OR(A301="",'02 Balance Sheet'!$B$2&lt;&gt;$A301),"",SUMIF('02 Balance Sheet'!$D:$D,"CNY",'02 Balance Sheet'!$H:$H))</x:f>
      </x:c>
      <x:c r="H301" s="14" t="str">
        <x:f>IF(OR(A301="",'02 Balance Sheet'!$B$2&lt;&gt;$A301),"",SUMIF('02 Balance Sheet'!$D:$D,"USD",'02 Balance Sheet'!$H:$H))</x:f>
      </x:c>
      <x:c r="I301" s="14" t="str">
        <x:f>IF(OR(A301="",'02 Balance Sheet'!$B$2&lt;&gt;$A301),"",SUMIF('02 Balance Sheet'!$D:$D,"HKD",'02 Balance Sheet'!$H:$H))</x:f>
      </x:c>
      <x:c r="J301" s="12" t="str">
        <x:f>IF(A301="","",IF(COUNT(G301:I301)&lt;3,"Awaiting Month-End Snapshot",IF(OR(B301="",D301=""),"Awaiting Monthly Inputs","Ready to Close")))</x:f>
      </x:c>
      <x:c r="K301" s="22"/>
    </x:row>
    <x:row r="302" ht="19.5" customHeight="1">
      <x:c r="A302" s="25"/>
      <x:c r="B302" s="19"/>
      <x:c r="C302" s="19"/>
      <x:c r="D302" s="19"/>
      <x:c r="E302" s="19"/>
      <x:c r="F302" s="14" t="str">
        <x:f>IF(OR(A302="",B302="",D302=""),"",SUM(B302:C302)-N(D302)+N(E302))</x:f>
      </x:c>
      <x:c r="G302" s="14" t="str">
        <x:f>IF(OR(A302="",'02 Balance Sheet'!$B$2&lt;&gt;$A302),"",SUMIF('02 Balance Sheet'!$D:$D,"CNY",'02 Balance Sheet'!$H:$H))</x:f>
      </x:c>
      <x:c r="H302" s="14" t="str">
        <x:f>IF(OR(A302="",'02 Balance Sheet'!$B$2&lt;&gt;$A302),"",SUMIF('02 Balance Sheet'!$D:$D,"USD",'02 Balance Sheet'!$H:$H))</x:f>
      </x:c>
      <x:c r="I302" s="14" t="str">
        <x:f>IF(OR(A302="",'02 Balance Sheet'!$B$2&lt;&gt;$A302),"",SUMIF('02 Balance Sheet'!$D:$D,"HKD",'02 Balance Sheet'!$H:$H))</x:f>
      </x:c>
      <x:c r="J302" s="12" t="str">
        <x:f>IF(A302="","",IF(COUNT(G302:I302)&lt;3,"Awaiting Month-End Snapshot",IF(OR(B302="",D302=""),"Awaiting Monthly Inputs","Ready to Close")))</x:f>
      </x:c>
      <x:c r="K302" s="22"/>
    </x:row>
    <x:row r="303" ht="19.5" customHeight="1">
      <x:c r="A303" s="25"/>
      <x:c r="B303" s="19"/>
      <x:c r="C303" s="19"/>
      <x:c r="D303" s="19"/>
      <x:c r="E303" s="19"/>
      <x:c r="F303" s="14" t="str">
        <x:f>IF(OR(A303="",B303="",D303=""),"",SUM(B303:C303)-N(D303)+N(E303))</x:f>
      </x:c>
      <x:c r="G303" s="14" t="str">
        <x:f>IF(OR(A303="",'02 Balance Sheet'!$B$2&lt;&gt;$A303),"",SUMIF('02 Balance Sheet'!$D:$D,"CNY",'02 Balance Sheet'!$H:$H))</x:f>
      </x:c>
      <x:c r="H303" s="14" t="str">
        <x:f>IF(OR(A303="",'02 Balance Sheet'!$B$2&lt;&gt;$A303),"",SUMIF('02 Balance Sheet'!$D:$D,"USD",'02 Balance Sheet'!$H:$H))</x:f>
      </x:c>
      <x:c r="I303" s="14" t="str">
        <x:f>IF(OR(A303="",'02 Balance Sheet'!$B$2&lt;&gt;$A303),"",SUMIF('02 Balance Sheet'!$D:$D,"HKD",'02 Balance Sheet'!$H:$H))</x:f>
      </x:c>
      <x:c r="J303" s="12" t="str">
        <x:f>IF(A303="","",IF(COUNT(G303:I303)&lt;3,"Awaiting Month-End Snapshot",IF(OR(B303="",D303=""),"Awaiting Monthly Inputs","Ready to Close")))</x:f>
      </x:c>
      <x:c r="K303" s="22"/>
    </x:row>
    <x:row r="304" ht="19.5" customHeight="1">
      <x:c r="A304" s="25"/>
      <x:c r="B304" s="19"/>
      <x:c r="C304" s="19"/>
      <x:c r="D304" s="19"/>
      <x:c r="E304" s="19"/>
      <x:c r="F304" s="14" t="str">
        <x:f>IF(OR(A304="",B304="",D304=""),"",SUM(B304:C304)-N(D304)+N(E304))</x:f>
      </x:c>
      <x:c r="G304" s="14" t="str">
        <x:f>IF(OR(A304="",'02 Balance Sheet'!$B$2&lt;&gt;$A304),"",SUMIF('02 Balance Sheet'!$D:$D,"CNY",'02 Balance Sheet'!$H:$H))</x:f>
      </x:c>
      <x:c r="H304" s="14" t="str">
        <x:f>IF(OR(A304="",'02 Balance Sheet'!$B$2&lt;&gt;$A304),"",SUMIF('02 Balance Sheet'!$D:$D,"USD",'02 Balance Sheet'!$H:$H))</x:f>
      </x:c>
      <x:c r="I304" s="14" t="str">
        <x:f>IF(OR(A304="",'02 Balance Sheet'!$B$2&lt;&gt;$A304),"",SUMIF('02 Balance Sheet'!$D:$D,"HKD",'02 Balance Sheet'!$H:$H))</x:f>
      </x:c>
      <x:c r="J304" s="12" t="str">
        <x:f>IF(A304="","",IF(COUNT(G304:I304)&lt;3,"Awaiting Month-End Snapshot",IF(OR(B304="",D304=""),"Awaiting Monthly Inputs","Ready to Close")))</x:f>
      </x:c>
      <x:c r="K304" s="22"/>
    </x:row>
    <x:row r="305" ht="19.5" customHeight="1">
      <x:c r="A305" s="25"/>
      <x:c r="B305" s="19"/>
      <x:c r="C305" s="19"/>
      <x:c r="D305" s="19"/>
      <x:c r="E305" s="19"/>
      <x:c r="F305" s="14" t="str">
        <x:f>IF(OR(A305="",B305="",D305=""),"",SUM(B305:C305)-N(D305)+N(E305))</x:f>
      </x:c>
      <x:c r="G305" s="14" t="str">
        <x:f>IF(OR(A305="",'02 Balance Sheet'!$B$2&lt;&gt;$A305),"",SUMIF('02 Balance Sheet'!$D:$D,"CNY",'02 Balance Sheet'!$H:$H))</x:f>
      </x:c>
      <x:c r="H305" s="14" t="str">
        <x:f>IF(OR(A305="",'02 Balance Sheet'!$B$2&lt;&gt;$A305),"",SUMIF('02 Balance Sheet'!$D:$D,"USD",'02 Balance Sheet'!$H:$H))</x:f>
      </x:c>
      <x:c r="I305" s="14" t="str">
        <x:f>IF(OR(A305="",'02 Balance Sheet'!$B$2&lt;&gt;$A305),"",SUMIF('02 Balance Sheet'!$D:$D,"HKD",'02 Balance Sheet'!$H:$H))</x:f>
      </x:c>
      <x:c r="J305" s="12" t="str">
        <x:f>IF(A305="","",IF(COUNT(G305:I305)&lt;3,"Awaiting Month-End Snapshot",IF(OR(B305="",D305=""),"Awaiting Monthly Inputs","Ready to Close")))</x:f>
      </x:c>
      <x:c r="K305" s="22"/>
    </x:row>
    <x:row r="306" ht="19.5" customHeight="1">
      <x:c r="A306" s="25"/>
      <x:c r="B306" s="19"/>
      <x:c r="C306" s="19"/>
      <x:c r="D306" s="19"/>
      <x:c r="E306" s="19"/>
      <x:c r="F306" s="14" t="str">
        <x:f>IF(OR(A306="",B306="",D306=""),"",SUM(B306:C306)-N(D306)+N(E306))</x:f>
      </x:c>
      <x:c r="G306" s="14" t="str">
        <x:f>IF(OR(A306="",'02 Balance Sheet'!$B$2&lt;&gt;$A306),"",SUMIF('02 Balance Sheet'!$D:$D,"CNY",'02 Balance Sheet'!$H:$H))</x:f>
      </x:c>
      <x:c r="H306" s="14" t="str">
        <x:f>IF(OR(A306="",'02 Balance Sheet'!$B$2&lt;&gt;$A306),"",SUMIF('02 Balance Sheet'!$D:$D,"USD",'02 Balance Sheet'!$H:$H))</x:f>
      </x:c>
      <x:c r="I306" s="14" t="str">
        <x:f>IF(OR(A306="",'02 Balance Sheet'!$B$2&lt;&gt;$A306),"",SUMIF('02 Balance Sheet'!$D:$D,"HKD",'02 Balance Sheet'!$H:$H))</x:f>
      </x:c>
      <x:c r="J306" s="12" t="str">
        <x:f>IF(A306="","",IF(COUNT(G306:I306)&lt;3,"Awaiting Month-End Snapshot",IF(OR(B306="",D306=""),"Awaiting Monthly Inputs","Ready to Close")))</x:f>
      </x:c>
      <x:c r="K306" s="22"/>
    </x:row>
    <x:row r="307" ht="19.5" customHeight="1">
      <x:c r="A307" s="25"/>
      <x:c r="B307" s="19"/>
      <x:c r="C307" s="19"/>
      <x:c r="D307" s="19"/>
      <x:c r="E307" s="19"/>
      <x:c r="F307" s="14" t="str">
        <x:f>IF(OR(A307="",B307="",D307=""),"",SUM(B307:C307)-N(D307)+N(E307))</x:f>
      </x:c>
      <x:c r="G307" s="14" t="str">
        <x:f>IF(OR(A307="",'02 Balance Sheet'!$B$2&lt;&gt;$A307),"",SUMIF('02 Balance Sheet'!$D:$D,"CNY",'02 Balance Sheet'!$H:$H))</x:f>
      </x:c>
      <x:c r="H307" s="14" t="str">
        <x:f>IF(OR(A307="",'02 Balance Sheet'!$B$2&lt;&gt;$A307),"",SUMIF('02 Balance Sheet'!$D:$D,"USD",'02 Balance Sheet'!$H:$H))</x:f>
      </x:c>
      <x:c r="I307" s="14" t="str">
        <x:f>IF(OR(A307="",'02 Balance Sheet'!$B$2&lt;&gt;$A307),"",SUMIF('02 Balance Sheet'!$D:$D,"HKD",'02 Balance Sheet'!$H:$H))</x:f>
      </x:c>
      <x:c r="J307" s="12" t="str">
        <x:f>IF(A307="","",IF(COUNT(G307:I307)&lt;3,"Awaiting Month-End Snapshot",IF(OR(B307="",D307=""),"Awaiting Monthly Inputs","Ready to Close")))</x:f>
      </x:c>
      <x:c r="K307" s="22"/>
    </x:row>
    <x:row r="308" ht="19.5" customHeight="1">
      <x:c r="A308" s="25"/>
      <x:c r="B308" s="19"/>
      <x:c r="C308" s="19"/>
      <x:c r="D308" s="19"/>
      <x:c r="E308" s="19"/>
      <x:c r="F308" s="14" t="str">
        <x:f>IF(OR(A308="",B308="",D308=""),"",SUM(B308:C308)-N(D308)+N(E308))</x:f>
      </x:c>
      <x:c r="G308" s="14" t="str">
        <x:f>IF(OR(A308="",'02 Balance Sheet'!$B$2&lt;&gt;$A308),"",SUMIF('02 Balance Sheet'!$D:$D,"CNY",'02 Balance Sheet'!$H:$H))</x:f>
      </x:c>
      <x:c r="H308" s="14" t="str">
        <x:f>IF(OR(A308="",'02 Balance Sheet'!$B$2&lt;&gt;$A308),"",SUMIF('02 Balance Sheet'!$D:$D,"USD",'02 Balance Sheet'!$H:$H))</x:f>
      </x:c>
      <x:c r="I308" s="14" t="str">
        <x:f>IF(OR(A308="",'02 Balance Sheet'!$B$2&lt;&gt;$A308),"",SUMIF('02 Balance Sheet'!$D:$D,"HKD",'02 Balance Sheet'!$H:$H))</x:f>
      </x:c>
      <x:c r="J308" s="12" t="str">
        <x:f>IF(A308="","",IF(COUNT(G308:I308)&lt;3,"Awaiting Month-End Snapshot",IF(OR(B308="",D308=""),"Awaiting Monthly Inputs","Ready to Close")))</x:f>
      </x:c>
      <x:c r="K308" s="22"/>
    </x:row>
    <x:row r="309" ht="19.5" customHeight="1">
      <x:c r="A309" s="25"/>
      <x:c r="B309" s="19"/>
      <x:c r="C309" s="19"/>
      <x:c r="D309" s="19"/>
      <x:c r="E309" s="19"/>
      <x:c r="F309" s="14" t="str">
        <x:f>IF(OR(A309="",B309="",D309=""),"",SUM(B309:C309)-N(D309)+N(E309))</x:f>
      </x:c>
      <x:c r="G309" s="14" t="str">
        <x:f>IF(OR(A309="",'02 Balance Sheet'!$B$2&lt;&gt;$A309),"",SUMIF('02 Balance Sheet'!$D:$D,"CNY",'02 Balance Sheet'!$H:$H))</x:f>
      </x:c>
      <x:c r="H309" s="14" t="str">
        <x:f>IF(OR(A309="",'02 Balance Sheet'!$B$2&lt;&gt;$A309),"",SUMIF('02 Balance Sheet'!$D:$D,"USD",'02 Balance Sheet'!$H:$H))</x:f>
      </x:c>
      <x:c r="I309" s="14" t="str">
        <x:f>IF(OR(A309="",'02 Balance Sheet'!$B$2&lt;&gt;$A309),"",SUMIF('02 Balance Sheet'!$D:$D,"HKD",'02 Balance Sheet'!$H:$H))</x:f>
      </x:c>
      <x:c r="J309" s="12" t="str">
        <x:f>IF(A309="","",IF(COUNT(G309:I309)&lt;3,"Awaiting Month-End Snapshot",IF(OR(B309="",D309=""),"Awaiting Monthly Inputs","Ready to Close")))</x:f>
      </x:c>
      <x:c r="K309" s="22"/>
    </x:row>
    <x:row r="310" ht="19.5" customHeight="1">
      <x:c r="A310" s="25"/>
      <x:c r="B310" s="19"/>
      <x:c r="C310" s="19"/>
      <x:c r="D310" s="19"/>
      <x:c r="E310" s="19"/>
      <x:c r="F310" s="14" t="str">
        <x:f>IF(OR(A310="",B310="",D310=""),"",SUM(B310:C310)-N(D310)+N(E310))</x:f>
      </x:c>
      <x:c r="G310" s="14" t="str">
        <x:f>IF(OR(A310="",'02 Balance Sheet'!$B$2&lt;&gt;$A310),"",SUMIF('02 Balance Sheet'!$D:$D,"CNY",'02 Balance Sheet'!$H:$H))</x:f>
      </x:c>
      <x:c r="H310" s="14" t="str">
        <x:f>IF(OR(A310="",'02 Balance Sheet'!$B$2&lt;&gt;$A310),"",SUMIF('02 Balance Sheet'!$D:$D,"USD",'02 Balance Sheet'!$H:$H))</x:f>
      </x:c>
      <x:c r="I310" s="14" t="str">
        <x:f>IF(OR(A310="",'02 Balance Sheet'!$B$2&lt;&gt;$A310),"",SUMIF('02 Balance Sheet'!$D:$D,"HKD",'02 Balance Sheet'!$H:$H))</x:f>
      </x:c>
      <x:c r="J310" s="12" t="str">
        <x:f>IF(A310="","",IF(COUNT(G310:I310)&lt;3,"Awaiting Month-End Snapshot",IF(OR(B310="",D310=""),"Awaiting Monthly Inputs","Ready to Close")))</x:f>
      </x:c>
      <x:c r="K310" s="22"/>
    </x:row>
    <x:row r="311" ht="19.5" customHeight="1">
      <x:c r="A311" s="25"/>
      <x:c r="B311" s="19"/>
      <x:c r="C311" s="19"/>
      <x:c r="D311" s="19"/>
      <x:c r="E311" s="19"/>
      <x:c r="F311" s="14" t="str">
        <x:f>IF(OR(A311="",B311="",D311=""),"",SUM(B311:C311)-N(D311)+N(E311))</x:f>
      </x:c>
      <x:c r="G311" s="14" t="str">
        <x:f>IF(OR(A311="",'02 Balance Sheet'!$B$2&lt;&gt;$A311),"",SUMIF('02 Balance Sheet'!$D:$D,"CNY",'02 Balance Sheet'!$H:$H))</x:f>
      </x:c>
      <x:c r="H311" s="14" t="str">
        <x:f>IF(OR(A311="",'02 Balance Sheet'!$B$2&lt;&gt;$A311),"",SUMIF('02 Balance Sheet'!$D:$D,"USD",'02 Balance Sheet'!$H:$H))</x:f>
      </x:c>
      <x:c r="I311" s="14" t="str">
        <x:f>IF(OR(A311="",'02 Balance Sheet'!$B$2&lt;&gt;$A311),"",SUMIF('02 Balance Sheet'!$D:$D,"HKD",'02 Balance Sheet'!$H:$H))</x:f>
      </x:c>
      <x:c r="J311" s="12" t="str">
        <x:f>IF(A311="","",IF(COUNT(G311:I311)&lt;3,"Awaiting Month-End Snapshot",IF(OR(B311="",D311=""),"Awaiting Monthly Inputs","Ready to Close")))</x:f>
      </x:c>
      <x:c r="K311" s="22"/>
    </x:row>
    <x:row r="312" ht="19.5" customHeight="1">
      <x:c r="A312" s="25"/>
      <x:c r="B312" s="19"/>
      <x:c r="C312" s="19"/>
      <x:c r="D312" s="19"/>
      <x:c r="E312" s="19"/>
      <x:c r="F312" s="14" t="str">
        <x:f>IF(OR(A312="",B312="",D312=""),"",SUM(B312:C312)-N(D312)+N(E312))</x:f>
      </x:c>
      <x:c r="G312" s="14" t="str">
        <x:f>IF(OR(A312="",'02 Balance Sheet'!$B$2&lt;&gt;$A312),"",SUMIF('02 Balance Sheet'!$D:$D,"CNY",'02 Balance Sheet'!$H:$H))</x:f>
      </x:c>
      <x:c r="H312" s="14" t="str">
        <x:f>IF(OR(A312="",'02 Balance Sheet'!$B$2&lt;&gt;$A312),"",SUMIF('02 Balance Sheet'!$D:$D,"USD",'02 Balance Sheet'!$H:$H))</x:f>
      </x:c>
      <x:c r="I312" s="14" t="str">
        <x:f>IF(OR(A312="",'02 Balance Sheet'!$B$2&lt;&gt;$A312),"",SUMIF('02 Balance Sheet'!$D:$D,"HKD",'02 Balance Sheet'!$H:$H))</x:f>
      </x:c>
      <x:c r="J312" s="12" t="str">
        <x:f>IF(A312="","",IF(COUNT(G312:I312)&lt;3,"Awaiting Month-End Snapshot",IF(OR(B312="",D312=""),"Awaiting Monthly Inputs","Ready to Close")))</x:f>
      </x:c>
      <x:c r="K312" s="22"/>
    </x:row>
    <x:row r="313" ht="19.5" customHeight="1">
      <x:c r="A313" s="25"/>
      <x:c r="B313" s="19"/>
      <x:c r="C313" s="19"/>
      <x:c r="D313" s="19"/>
      <x:c r="E313" s="19"/>
      <x:c r="F313" s="14" t="str">
        <x:f>IF(OR(A313="",B313="",D313=""),"",SUM(B313:C313)-N(D313)+N(E313))</x:f>
      </x:c>
      <x:c r="G313" s="14" t="str">
        <x:f>IF(OR(A313="",'02 Balance Sheet'!$B$2&lt;&gt;$A313),"",SUMIF('02 Balance Sheet'!$D:$D,"CNY",'02 Balance Sheet'!$H:$H))</x:f>
      </x:c>
      <x:c r="H313" s="14" t="str">
        <x:f>IF(OR(A313="",'02 Balance Sheet'!$B$2&lt;&gt;$A313),"",SUMIF('02 Balance Sheet'!$D:$D,"USD",'02 Balance Sheet'!$H:$H))</x:f>
      </x:c>
      <x:c r="I313" s="14" t="str">
        <x:f>IF(OR(A313="",'02 Balance Sheet'!$B$2&lt;&gt;$A313),"",SUMIF('02 Balance Sheet'!$D:$D,"HKD",'02 Balance Sheet'!$H:$H))</x:f>
      </x:c>
      <x:c r="J313" s="12" t="str">
        <x:f>IF(A313="","",IF(COUNT(G313:I313)&lt;3,"Awaiting Month-End Snapshot",IF(OR(B313="",D313=""),"Awaiting Monthly Inputs","Ready to Close")))</x:f>
      </x:c>
      <x:c r="K313" s="22"/>
    </x:row>
    <x:row r="314" ht="19.5" customHeight="1">
      <x:c r="A314" s="25"/>
      <x:c r="B314" s="19"/>
      <x:c r="C314" s="19"/>
      <x:c r="D314" s="19"/>
      <x:c r="E314" s="19"/>
      <x:c r="F314" s="14" t="str">
        <x:f>IF(OR(A314="",B314="",D314=""),"",SUM(B314:C314)-N(D314)+N(E314))</x:f>
      </x:c>
      <x:c r="G314" s="14" t="str">
        <x:f>IF(OR(A314="",'02 Balance Sheet'!$B$2&lt;&gt;$A314),"",SUMIF('02 Balance Sheet'!$D:$D,"CNY",'02 Balance Sheet'!$H:$H))</x:f>
      </x:c>
      <x:c r="H314" s="14" t="str">
        <x:f>IF(OR(A314="",'02 Balance Sheet'!$B$2&lt;&gt;$A314),"",SUMIF('02 Balance Sheet'!$D:$D,"USD",'02 Balance Sheet'!$H:$H))</x:f>
      </x:c>
      <x:c r="I314" s="14" t="str">
        <x:f>IF(OR(A314="",'02 Balance Sheet'!$B$2&lt;&gt;$A314),"",SUMIF('02 Balance Sheet'!$D:$D,"HKD",'02 Balance Sheet'!$H:$H))</x:f>
      </x:c>
      <x:c r="J314" s="12" t="str">
        <x:f>IF(A314="","",IF(COUNT(G314:I314)&lt;3,"Awaiting Month-End Snapshot",IF(OR(B314="",D314=""),"Awaiting Monthly Inputs","Ready to Close")))</x:f>
      </x:c>
      <x:c r="K314" s="22"/>
    </x:row>
    <x:row r="315" ht="19.5" customHeight="1">
      <x:c r="A315" s="25"/>
      <x:c r="B315" s="19"/>
      <x:c r="C315" s="19"/>
      <x:c r="D315" s="19"/>
      <x:c r="E315" s="19"/>
      <x:c r="F315" s="14" t="str">
        <x:f>IF(OR(A315="",B315="",D315=""),"",SUM(B315:C315)-N(D315)+N(E315))</x:f>
      </x:c>
      <x:c r="G315" s="14" t="str">
        <x:f>IF(OR(A315="",'02 Balance Sheet'!$B$2&lt;&gt;$A315),"",SUMIF('02 Balance Sheet'!$D:$D,"CNY",'02 Balance Sheet'!$H:$H))</x:f>
      </x:c>
      <x:c r="H315" s="14" t="str">
        <x:f>IF(OR(A315="",'02 Balance Sheet'!$B$2&lt;&gt;$A315),"",SUMIF('02 Balance Sheet'!$D:$D,"USD",'02 Balance Sheet'!$H:$H))</x:f>
      </x:c>
      <x:c r="I315" s="14" t="str">
        <x:f>IF(OR(A315="",'02 Balance Sheet'!$B$2&lt;&gt;$A315),"",SUMIF('02 Balance Sheet'!$D:$D,"HKD",'02 Balance Sheet'!$H:$H))</x:f>
      </x:c>
      <x:c r="J315" s="12" t="str">
        <x:f>IF(A315="","",IF(COUNT(G315:I315)&lt;3,"Awaiting Month-End Snapshot",IF(OR(B315="",D315=""),"Awaiting Monthly Inputs","Ready to Close")))</x:f>
      </x:c>
      <x:c r="K315" s="22"/>
    </x:row>
    <x:row r="316" ht="19.5" customHeight="1">
      <x:c r="A316" s="25"/>
      <x:c r="B316" s="19"/>
      <x:c r="C316" s="19"/>
      <x:c r="D316" s="19"/>
      <x:c r="E316" s="19"/>
      <x:c r="F316" s="14" t="str">
        <x:f>IF(OR(A316="",B316="",D316=""),"",SUM(B316:C316)-N(D316)+N(E316))</x:f>
      </x:c>
      <x:c r="G316" s="14" t="str">
        <x:f>IF(OR(A316="",'02 Balance Sheet'!$B$2&lt;&gt;$A316),"",SUMIF('02 Balance Sheet'!$D:$D,"CNY",'02 Balance Sheet'!$H:$H))</x:f>
      </x:c>
      <x:c r="H316" s="14" t="str">
        <x:f>IF(OR(A316="",'02 Balance Sheet'!$B$2&lt;&gt;$A316),"",SUMIF('02 Balance Sheet'!$D:$D,"USD",'02 Balance Sheet'!$H:$H))</x:f>
      </x:c>
      <x:c r="I316" s="14" t="str">
        <x:f>IF(OR(A316="",'02 Balance Sheet'!$B$2&lt;&gt;$A316),"",SUMIF('02 Balance Sheet'!$D:$D,"HKD",'02 Balance Sheet'!$H:$H))</x:f>
      </x:c>
      <x:c r="J316" s="12" t="str">
        <x:f>IF(A316="","",IF(COUNT(G316:I316)&lt;3,"Awaiting Month-End Snapshot",IF(OR(B316="",D316=""),"Awaiting Monthly Inputs","Ready to Close")))</x:f>
      </x:c>
      <x:c r="K316" s="22"/>
    </x:row>
    <x:row r="317" ht="19.5" customHeight="1">
      <x:c r="A317" s="25"/>
      <x:c r="B317" s="19"/>
      <x:c r="C317" s="19"/>
      <x:c r="D317" s="19"/>
      <x:c r="E317" s="19"/>
      <x:c r="F317" s="14" t="str">
        <x:f>IF(OR(A317="",B317="",D317=""),"",SUM(B317:C317)-N(D317)+N(E317))</x:f>
      </x:c>
      <x:c r="G317" s="14" t="str">
        <x:f>IF(OR(A317="",'02 Balance Sheet'!$B$2&lt;&gt;$A317),"",SUMIF('02 Balance Sheet'!$D:$D,"CNY",'02 Balance Sheet'!$H:$H))</x:f>
      </x:c>
      <x:c r="H317" s="14" t="str">
        <x:f>IF(OR(A317="",'02 Balance Sheet'!$B$2&lt;&gt;$A317),"",SUMIF('02 Balance Sheet'!$D:$D,"USD",'02 Balance Sheet'!$H:$H))</x:f>
      </x:c>
      <x:c r="I317" s="14" t="str">
        <x:f>IF(OR(A317="",'02 Balance Sheet'!$B$2&lt;&gt;$A317),"",SUMIF('02 Balance Sheet'!$D:$D,"HKD",'02 Balance Sheet'!$H:$H))</x:f>
      </x:c>
      <x:c r="J317" s="12" t="str">
        <x:f>IF(A317="","",IF(COUNT(G317:I317)&lt;3,"Awaiting Month-End Snapshot",IF(OR(B317="",D317=""),"Awaiting Monthly Inputs","Ready to Close")))</x:f>
      </x:c>
      <x:c r="K317" s="22"/>
    </x:row>
    <x:row r="318" ht="19.5" customHeight="1">
      <x:c r="A318" s="25"/>
      <x:c r="B318" s="19"/>
      <x:c r="C318" s="19"/>
      <x:c r="D318" s="19"/>
      <x:c r="E318" s="19"/>
      <x:c r="F318" s="14" t="str">
        <x:f>IF(OR(A318="",B318="",D318=""),"",SUM(B318:C318)-N(D318)+N(E318))</x:f>
      </x:c>
      <x:c r="G318" s="14" t="str">
        <x:f>IF(OR(A318="",'02 Balance Sheet'!$B$2&lt;&gt;$A318),"",SUMIF('02 Balance Sheet'!$D:$D,"CNY",'02 Balance Sheet'!$H:$H))</x:f>
      </x:c>
      <x:c r="H318" s="14" t="str">
        <x:f>IF(OR(A318="",'02 Balance Sheet'!$B$2&lt;&gt;$A318),"",SUMIF('02 Balance Sheet'!$D:$D,"USD",'02 Balance Sheet'!$H:$H))</x:f>
      </x:c>
      <x:c r="I318" s="14" t="str">
        <x:f>IF(OR(A318="",'02 Balance Sheet'!$B$2&lt;&gt;$A318),"",SUMIF('02 Balance Sheet'!$D:$D,"HKD",'02 Balance Sheet'!$H:$H))</x:f>
      </x:c>
      <x:c r="J318" s="12" t="str">
        <x:f>IF(A318="","",IF(COUNT(G318:I318)&lt;3,"Awaiting Month-End Snapshot",IF(OR(B318="",D318=""),"Awaiting Monthly Inputs","Ready to Close")))</x:f>
      </x:c>
      <x:c r="K318" s="22"/>
    </x:row>
    <x:row r="319" ht="19.5" customHeight="1">
      <x:c r="A319" s="25"/>
      <x:c r="B319" s="19"/>
      <x:c r="C319" s="19"/>
      <x:c r="D319" s="19"/>
      <x:c r="E319" s="19"/>
      <x:c r="F319" s="14" t="str">
        <x:f>IF(OR(A319="",B319="",D319=""),"",SUM(B319:C319)-N(D319)+N(E319))</x:f>
      </x:c>
      <x:c r="G319" s="14" t="str">
        <x:f>IF(OR(A319="",'02 Balance Sheet'!$B$2&lt;&gt;$A319),"",SUMIF('02 Balance Sheet'!$D:$D,"CNY",'02 Balance Sheet'!$H:$H))</x:f>
      </x:c>
      <x:c r="H319" s="14" t="str">
        <x:f>IF(OR(A319="",'02 Balance Sheet'!$B$2&lt;&gt;$A319),"",SUMIF('02 Balance Sheet'!$D:$D,"USD",'02 Balance Sheet'!$H:$H))</x:f>
      </x:c>
      <x:c r="I319" s="14" t="str">
        <x:f>IF(OR(A319="",'02 Balance Sheet'!$B$2&lt;&gt;$A319),"",SUMIF('02 Balance Sheet'!$D:$D,"HKD",'02 Balance Sheet'!$H:$H))</x:f>
      </x:c>
      <x:c r="J319" s="12" t="str">
        <x:f>IF(A319="","",IF(COUNT(G319:I319)&lt;3,"Awaiting Month-End Snapshot",IF(OR(B319="",D319=""),"Awaiting Monthly Inputs","Ready to Close")))</x:f>
      </x:c>
      <x:c r="K319" s="22"/>
    </x:row>
    <x:row r="320" ht="19.5" customHeight="1">
      <x:c r="A320" s="25"/>
      <x:c r="B320" s="19"/>
      <x:c r="C320" s="19"/>
      <x:c r="D320" s="19"/>
      <x:c r="E320" s="19"/>
      <x:c r="F320" s="14" t="str">
        <x:f>IF(OR(A320="",B320="",D320=""),"",SUM(B320:C320)-N(D320)+N(E320))</x:f>
      </x:c>
      <x:c r="G320" s="14" t="str">
        <x:f>IF(OR(A320="",'02 Balance Sheet'!$B$2&lt;&gt;$A320),"",SUMIF('02 Balance Sheet'!$D:$D,"CNY",'02 Balance Sheet'!$H:$H))</x:f>
      </x:c>
      <x:c r="H320" s="14" t="str">
        <x:f>IF(OR(A320="",'02 Balance Sheet'!$B$2&lt;&gt;$A320),"",SUMIF('02 Balance Sheet'!$D:$D,"USD",'02 Balance Sheet'!$H:$H))</x:f>
      </x:c>
      <x:c r="I320" s="14" t="str">
        <x:f>IF(OR(A320="",'02 Balance Sheet'!$B$2&lt;&gt;$A320),"",SUMIF('02 Balance Sheet'!$D:$D,"HKD",'02 Balance Sheet'!$H:$H))</x:f>
      </x:c>
      <x:c r="J320" s="12" t="str">
        <x:f>IF(A320="","",IF(COUNT(G320:I320)&lt;3,"Awaiting Month-End Snapshot",IF(OR(B320="",D320=""),"Awaiting Monthly Inputs","Ready to Close")))</x:f>
      </x:c>
      <x:c r="K320" s="22"/>
    </x:row>
    <x:row r="321" ht="19.5" customHeight="1">
      <x:c r="A321" s="25"/>
      <x:c r="B321" s="19"/>
      <x:c r="C321" s="19"/>
      <x:c r="D321" s="19"/>
      <x:c r="E321" s="19"/>
      <x:c r="F321" s="14" t="str">
        <x:f>IF(OR(A321="",B321="",D321=""),"",SUM(B321:C321)-N(D321)+N(E321))</x:f>
      </x:c>
      <x:c r="G321" s="14" t="str">
        <x:f>IF(OR(A321="",'02 Balance Sheet'!$B$2&lt;&gt;$A321),"",SUMIF('02 Balance Sheet'!$D:$D,"CNY",'02 Balance Sheet'!$H:$H))</x:f>
      </x:c>
      <x:c r="H321" s="14" t="str">
        <x:f>IF(OR(A321="",'02 Balance Sheet'!$B$2&lt;&gt;$A321),"",SUMIF('02 Balance Sheet'!$D:$D,"USD",'02 Balance Sheet'!$H:$H))</x:f>
      </x:c>
      <x:c r="I321" s="14" t="str">
        <x:f>IF(OR(A321="",'02 Balance Sheet'!$B$2&lt;&gt;$A321),"",SUMIF('02 Balance Sheet'!$D:$D,"HKD",'02 Balance Sheet'!$H:$H))</x:f>
      </x:c>
      <x:c r="J321" s="12" t="str">
        <x:f>IF(A321="","",IF(COUNT(G321:I321)&lt;3,"Awaiting Month-End Snapshot",IF(OR(B321="",D321=""),"Awaiting Monthly Inputs","Ready to Close")))</x:f>
      </x:c>
      <x:c r="K321" s="22"/>
    </x:row>
    <x:row r="322" ht="19.5" customHeight="1">
      <x:c r="A322" s="25"/>
      <x:c r="B322" s="19"/>
      <x:c r="C322" s="19"/>
      <x:c r="D322" s="19"/>
      <x:c r="E322" s="19"/>
      <x:c r="F322" s="14" t="str">
        <x:f>IF(OR(A322="",B322="",D322=""),"",SUM(B322:C322)-N(D322)+N(E322))</x:f>
      </x:c>
      <x:c r="G322" s="14" t="str">
        <x:f>IF(OR(A322="",'02 Balance Sheet'!$B$2&lt;&gt;$A322),"",SUMIF('02 Balance Sheet'!$D:$D,"CNY",'02 Balance Sheet'!$H:$H))</x:f>
      </x:c>
      <x:c r="H322" s="14" t="str">
        <x:f>IF(OR(A322="",'02 Balance Sheet'!$B$2&lt;&gt;$A322),"",SUMIF('02 Balance Sheet'!$D:$D,"USD",'02 Balance Sheet'!$H:$H))</x:f>
      </x:c>
      <x:c r="I322" s="14" t="str">
        <x:f>IF(OR(A322="",'02 Balance Sheet'!$B$2&lt;&gt;$A322),"",SUMIF('02 Balance Sheet'!$D:$D,"HKD",'02 Balance Sheet'!$H:$H))</x:f>
      </x:c>
      <x:c r="J322" s="12" t="str">
        <x:f>IF(A322="","",IF(COUNT(G322:I322)&lt;3,"Awaiting Month-End Snapshot",IF(OR(B322="",D322=""),"Awaiting Monthly Inputs","Ready to Close")))</x:f>
      </x:c>
      <x:c r="K322" s="22"/>
    </x:row>
    <x:row r="323" ht="19.5" customHeight="1">
      <x:c r="A323" s="25"/>
      <x:c r="B323" s="19"/>
      <x:c r="C323" s="19"/>
      <x:c r="D323" s="19"/>
      <x:c r="E323" s="19"/>
      <x:c r="F323" s="14" t="str">
        <x:f>IF(OR(A323="",B323="",D323=""),"",SUM(B323:C323)-N(D323)+N(E323))</x:f>
      </x:c>
      <x:c r="G323" s="14" t="str">
        <x:f>IF(OR(A323="",'02 Balance Sheet'!$B$2&lt;&gt;$A323),"",SUMIF('02 Balance Sheet'!$D:$D,"CNY",'02 Balance Sheet'!$H:$H))</x:f>
      </x:c>
      <x:c r="H323" s="14" t="str">
        <x:f>IF(OR(A323="",'02 Balance Sheet'!$B$2&lt;&gt;$A323),"",SUMIF('02 Balance Sheet'!$D:$D,"USD",'02 Balance Sheet'!$H:$H))</x:f>
      </x:c>
      <x:c r="I323" s="14" t="str">
        <x:f>IF(OR(A323="",'02 Balance Sheet'!$B$2&lt;&gt;$A323),"",SUMIF('02 Balance Sheet'!$D:$D,"HKD",'02 Balance Sheet'!$H:$H))</x:f>
      </x:c>
      <x:c r="J323" s="12" t="str">
        <x:f>IF(A323="","",IF(COUNT(G323:I323)&lt;3,"Awaiting Month-End Snapshot",IF(OR(B323="",D323=""),"Awaiting Monthly Inputs","Ready to Close")))</x:f>
      </x:c>
      <x:c r="K323" s="22"/>
    </x:row>
    <x:row r="324" ht="19.5" customHeight="1">
      <x:c r="A324" s="25"/>
      <x:c r="B324" s="19"/>
      <x:c r="C324" s="19"/>
      <x:c r="D324" s="19"/>
      <x:c r="E324" s="19"/>
      <x:c r="F324" s="14" t="str">
        <x:f>IF(OR(A324="",B324="",D324=""),"",SUM(B324:C324)-N(D324)+N(E324))</x:f>
      </x:c>
      <x:c r="G324" s="14" t="str">
        <x:f>IF(OR(A324="",'02 Balance Sheet'!$B$2&lt;&gt;$A324),"",SUMIF('02 Balance Sheet'!$D:$D,"CNY",'02 Balance Sheet'!$H:$H))</x:f>
      </x:c>
      <x:c r="H324" s="14" t="str">
        <x:f>IF(OR(A324="",'02 Balance Sheet'!$B$2&lt;&gt;$A324),"",SUMIF('02 Balance Sheet'!$D:$D,"USD",'02 Balance Sheet'!$H:$H))</x:f>
      </x:c>
      <x:c r="I324" s="14" t="str">
        <x:f>IF(OR(A324="",'02 Balance Sheet'!$B$2&lt;&gt;$A324),"",SUMIF('02 Balance Sheet'!$D:$D,"HKD",'02 Balance Sheet'!$H:$H))</x:f>
      </x:c>
      <x:c r="J324" s="12" t="str">
        <x:f>IF(A324="","",IF(COUNT(G324:I324)&lt;3,"Awaiting Month-End Snapshot",IF(OR(B324="",D324=""),"Awaiting Monthly Inputs","Ready to Close")))</x:f>
      </x:c>
      <x:c r="K324" s="22"/>
    </x:row>
    <x:row r="325" ht="19.5" customHeight="1">
      <x:c r="A325" s="25"/>
      <x:c r="B325" s="19"/>
      <x:c r="C325" s="19"/>
      <x:c r="D325" s="19"/>
      <x:c r="E325" s="19"/>
      <x:c r="F325" s="14" t="str">
        <x:f>IF(OR(A325="",B325="",D325=""),"",SUM(B325:C325)-N(D325)+N(E325))</x:f>
      </x:c>
      <x:c r="G325" s="14" t="str">
        <x:f>IF(OR(A325="",'02 Balance Sheet'!$B$2&lt;&gt;$A325),"",SUMIF('02 Balance Sheet'!$D:$D,"CNY",'02 Balance Sheet'!$H:$H))</x:f>
      </x:c>
      <x:c r="H325" s="14" t="str">
        <x:f>IF(OR(A325="",'02 Balance Sheet'!$B$2&lt;&gt;$A325),"",SUMIF('02 Balance Sheet'!$D:$D,"USD",'02 Balance Sheet'!$H:$H))</x:f>
      </x:c>
      <x:c r="I325" s="14" t="str">
        <x:f>IF(OR(A325="",'02 Balance Sheet'!$B$2&lt;&gt;$A325),"",SUMIF('02 Balance Sheet'!$D:$D,"HKD",'02 Balance Sheet'!$H:$H))</x:f>
      </x:c>
      <x:c r="J325" s="12" t="str">
        <x:f>IF(A325="","",IF(COUNT(G325:I325)&lt;3,"Awaiting Month-End Snapshot",IF(OR(B325="",D325=""),"Awaiting Monthly Inputs","Ready to Close")))</x:f>
      </x:c>
      <x:c r="K325" s="22"/>
    </x:row>
    <x:row r="326" ht="19.5" customHeight="1">
      <x:c r="A326" s="25"/>
      <x:c r="B326" s="19"/>
      <x:c r="C326" s="19"/>
      <x:c r="D326" s="19"/>
      <x:c r="E326" s="19"/>
      <x:c r="F326" s="14" t="str">
        <x:f>IF(OR(A326="",B326="",D326=""),"",SUM(B326:C326)-N(D326)+N(E326))</x:f>
      </x:c>
      <x:c r="G326" s="14" t="str">
        <x:f>IF(OR(A326="",'02 Balance Sheet'!$B$2&lt;&gt;$A326),"",SUMIF('02 Balance Sheet'!$D:$D,"CNY",'02 Balance Sheet'!$H:$H))</x:f>
      </x:c>
      <x:c r="H326" s="14" t="str">
        <x:f>IF(OR(A326="",'02 Balance Sheet'!$B$2&lt;&gt;$A326),"",SUMIF('02 Balance Sheet'!$D:$D,"USD",'02 Balance Sheet'!$H:$H))</x:f>
      </x:c>
      <x:c r="I326" s="14" t="str">
        <x:f>IF(OR(A326="",'02 Balance Sheet'!$B$2&lt;&gt;$A326),"",SUMIF('02 Balance Sheet'!$D:$D,"HKD",'02 Balance Sheet'!$H:$H))</x:f>
      </x:c>
      <x:c r="J326" s="12" t="str">
        <x:f>IF(A326="","",IF(COUNT(G326:I326)&lt;3,"Awaiting Month-End Snapshot",IF(OR(B326="",D326=""),"Awaiting Monthly Inputs","Ready to Close")))</x:f>
      </x:c>
      <x:c r="K326" s="22"/>
    </x:row>
    <x:row r="327" ht="19.5" customHeight="1">
      <x:c r="A327" s="25"/>
      <x:c r="B327" s="19"/>
      <x:c r="C327" s="19"/>
      <x:c r="D327" s="19"/>
      <x:c r="E327" s="19"/>
      <x:c r="F327" s="14" t="str">
        <x:f>IF(OR(A327="",B327="",D327=""),"",SUM(B327:C327)-N(D327)+N(E327))</x:f>
      </x:c>
      <x:c r="G327" s="14" t="str">
        <x:f>IF(OR(A327="",'02 Balance Sheet'!$B$2&lt;&gt;$A327),"",SUMIF('02 Balance Sheet'!$D:$D,"CNY",'02 Balance Sheet'!$H:$H))</x:f>
      </x:c>
      <x:c r="H327" s="14" t="str">
        <x:f>IF(OR(A327="",'02 Balance Sheet'!$B$2&lt;&gt;$A327),"",SUMIF('02 Balance Sheet'!$D:$D,"USD",'02 Balance Sheet'!$H:$H))</x:f>
      </x:c>
      <x:c r="I327" s="14" t="str">
        <x:f>IF(OR(A327="",'02 Balance Sheet'!$B$2&lt;&gt;$A327),"",SUMIF('02 Balance Sheet'!$D:$D,"HKD",'02 Balance Sheet'!$H:$H))</x:f>
      </x:c>
      <x:c r="J327" s="12" t="str">
        <x:f>IF(A327="","",IF(COUNT(G327:I327)&lt;3,"Awaiting Month-End Snapshot",IF(OR(B327="",D327=""),"Awaiting Monthly Inputs","Ready to Close")))</x:f>
      </x:c>
      <x:c r="K327" s="22"/>
    </x:row>
    <x:row r="328" ht="19.5" customHeight="1">
      <x:c r="A328" s="25"/>
      <x:c r="B328" s="19"/>
      <x:c r="C328" s="19"/>
      <x:c r="D328" s="19"/>
      <x:c r="E328" s="19"/>
      <x:c r="F328" s="14" t="str">
        <x:f>IF(OR(A328="",B328="",D328=""),"",SUM(B328:C328)-N(D328)+N(E328))</x:f>
      </x:c>
      <x:c r="G328" s="14" t="str">
        <x:f>IF(OR(A328="",'02 Balance Sheet'!$B$2&lt;&gt;$A328),"",SUMIF('02 Balance Sheet'!$D:$D,"CNY",'02 Balance Sheet'!$H:$H))</x:f>
      </x:c>
      <x:c r="H328" s="14" t="str">
        <x:f>IF(OR(A328="",'02 Balance Sheet'!$B$2&lt;&gt;$A328),"",SUMIF('02 Balance Sheet'!$D:$D,"USD",'02 Balance Sheet'!$H:$H))</x:f>
      </x:c>
      <x:c r="I328" s="14" t="str">
        <x:f>IF(OR(A328="",'02 Balance Sheet'!$B$2&lt;&gt;$A328),"",SUMIF('02 Balance Sheet'!$D:$D,"HKD",'02 Balance Sheet'!$H:$H))</x:f>
      </x:c>
      <x:c r="J328" s="12" t="str">
        <x:f>IF(A328="","",IF(COUNT(G328:I328)&lt;3,"Awaiting Month-End Snapshot",IF(OR(B328="",D328=""),"Awaiting Monthly Inputs","Ready to Close")))</x:f>
      </x:c>
      <x:c r="K328" s="22"/>
    </x:row>
    <x:row r="329" ht="19.5" customHeight="1">
      <x:c r="A329" s="25"/>
      <x:c r="B329" s="19"/>
      <x:c r="C329" s="19"/>
      <x:c r="D329" s="19"/>
      <x:c r="E329" s="19"/>
      <x:c r="F329" s="14" t="str">
        <x:f>IF(OR(A329="",B329="",D329=""),"",SUM(B329:C329)-N(D329)+N(E329))</x:f>
      </x:c>
      <x:c r="G329" s="14" t="str">
        <x:f>IF(OR(A329="",'02 Balance Sheet'!$B$2&lt;&gt;$A329),"",SUMIF('02 Balance Sheet'!$D:$D,"CNY",'02 Balance Sheet'!$H:$H))</x:f>
      </x:c>
      <x:c r="H329" s="14" t="str">
        <x:f>IF(OR(A329="",'02 Balance Sheet'!$B$2&lt;&gt;$A329),"",SUMIF('02 Balance Sheet'!$D:$D,"USD",'02 Balance Sheet'!$H:$H))</x:f>
      </x:c>
      <x:c r="I329" s="14" t="str">
        <x:f>IF(OR(A329="",'02 Balance Sheet'!$B$2&lt;&gt;$A329),"",SUMIF('02 Balance Sheet'!$D:$D,"HKD",'02 Balance Sheet'!$H:$H))</x:f>
      </x:c>
      <x:c r="J329" s="12" t="str">
        <x:f>IF(A329="","",IF(COUNT(G329:I329)&lt;3,"Awaiting Month-End Snapshot",IF(OR(B329="",D329=""),"Awaiting Monthly Inputs","Ready to Close")))</x:f>
      </x:c>
      <x:c r="K329" s="22"/>
    </x:row>
    <x:row r="330" ht="19.5" customHeight="1">
      <x:c r="A330" s="25"/>
      <x:c r="B330" s="19"/>
      <x:c r="C330" s="19"/>
      <x:c r="D330" s="19"/>
      <x:c r="E330" s="19"/>
      <x:c r="F330" s="14" t="str">
        <x:f>IF(OR(A330="",B330="",D330=""),"",SUM(B330:C330)-N(D330)+N(E330))</x:f>
      </x:c>
      <x:c r="G330" s="14" t="str">
        <x:f>IF(OR(A330="",'02 Balance Sheet'!$B$2&lt;&gt;$A330),"",SUMIF('02 Balance Sheet'!$D:$D,"CNY",'02 Balance Sheet'!$H:$H))</x:f>
      </x:c>
      <x:c r="H330" s="14" t="str">
        <x:f>IF(OR(A330="",'02 Balance Sheet'!$B$2&lt;&gt;$A330),"",SUMIF('02 Balance Sheet'!$D:$D,"USD",'02 Balance Sheet'!$H:$H))</x:f>
      </x:c>
      <x:c r="I330" s="14" t="str">
        <x:f>IF(OR(A330="",'02 Balance Sheet'!$B$2&lt;&gt;$A330),"",SUMIF('02 Balance Sheet'!$D:$D,"HKD",'02 Balance Sheet'!$H:$H))</x:f>
      </x:c>
      <x:c r="J330" s="12" t="str">
        <x:f>IF(A330="","",IF(COUNT(G330:I330)&lt;3,"Awaiting Month-End Snapshot",IF(OR(B330="",D330=""),"Awaiting Monthly Inputs","Ready to Close")))</x:f>
      </x:c>
      <x:c r="K330" s="22"/>
    </x:row>
    <x:row r="331" ht="19.5" customHeight="1">
      <x:c r="A331" s="25"/>
      <x:c r="B331" s="19"/>
      <x:c r="C331" s="19"/>
      <x:c r="D331" s="19"/>
      <x:c r="E331" s="19"/>
      <x:c r="F331" s="14" t="str">
        <x:f>IF(OR(A331="",B331="",D331=""),"",SUM(B331:C331)-N(D331)+N(E331))</x:f>
      </x:c>
      <x:c r="G331" s="14" t="str">
        <x:f>IF(OR(A331="",'02 Balance Sheet'!$B$2&lt;&gt;$A331),"",SUMIF('02 Balance Sheet'!$D:$D,"CNY",'02 Balance Sheet'!$H:$H))</x:f>
      </x:c>
      <x:c r="H331" s="14" t="str">
        <x:f>IF(OR(A331="",'02 Balance Sheet'!$B$2&lt;&gt;$A331),"",SUMIF('02 Balance Sheet'!$D:$D,"USD",'02 Balance Sheet'!$H:$H))</x:f>
      </x:c>
      <x:c r="I331" s="14" t="str">
        <x:f>IF(OR(A331="",'02 Balance Sheet'!$B$2&lt;&gt;$A331),"",SUMIF('02 Balance Sheet'!$D:$D,"HKD",'02 Balance Sheet'!$H:$H))</x:f>
      </x:c>
      <x:c r="J331" s="12" t="str">
        <x:f>IF(A331="","",IF(COUNT(G331:I331)&lt;3,"Awaiting Month-End Snapshot",IF(OR(B331="",D331=""),"Awaiting Monthly Inputs","Ready to Close")))</x:f>
      </x:c>
      <x:c r="K331" s="22"/>
    </x:row>
    <x:row r="332" ht="19.5" customHeight="1">
      <x:c r="A332" s="25"/>
      <x:c r="B332" s="19"/>
      <x:c r="C332" s="19"/>
      <x:c r="D332" s="19"/>
      <x:c r="E332" s="19"/>
      <x:c r="F332" s="14" t="str">
        <x:f>IF(OR(A332="",B332="",D332=""),"",SUM(B332:C332)-N(D332)+N(E332))</x:f>
      </x:c>
      <x:c r="G332" s="14" t="str">
        <x:f>IF(OR(A332="",'02 Balance Sheet'!$B$2&lt;&gt;$A332),"",SUMIF('02 Balance Sheet'!$D:$D,"CNY",'02 Balance Sheet'!$H:$H))</x:f>
      </x:c>
      <x:c r="H332" s="14" t="str">
        <x:f>IF(OR(A332="",'02 Balance Sheet'!$B$2&lt;&gt;$A332),"",SUMIF('02 Balance Sheet'!$D:$D,"USD",'02 Balance Sheet'!$H:$H))</x:f>
      </x:c>
      <x:c r="I332" s="14" t="str">
        <x:f>IF(OR(A332="",'02 Balance Sheet'!$B$2&lt;&gt;$A332),"",SUMIF('02 Balance Sheet'!$D:$D,"HKD",'02 Balance Sheet'!$H:$H))</x:f>
      </x:c>
      <x:c r="J332" s="12" t="str">
        <x:f>IF(A332="","",IF(COUNT(G332:I332)&lt;3,"Awaiting Month-End Snapshot",IF(OR(B332="",D332=""),"Awaiting Monthly Inputs","Ready to Close")))</x:f>
      </x:c>
      <x:c r="K332" s="22"/>
    </x:row>
    <x:row r="333" ht="19.5" customHeight="1">
      <x:c r="A333" s="25"/>
      <x:c r="B333" s="19"/>
      <x:c r="C333" s="19"/>
      <x:c r="D333" s="19"/>
      <x:c r="E333" s="19"/>
      <x:c r="F333" s="14" t="str">
        <x:f>IF(OR(A333="",B333="",D333=""),"",SUM(B333:C333)-N(D333)+N(E333))</x:f>
      </x:c>
      <x:c r="G333" s="14" t="str">
        <x:f>IF(OR(A333="",'02 Balance Sheet'!$B$2&lt;&gt;$A333),"",SUMIF('02 Balance Sheet'!$D:$D,"CNY",'02 Balance Sheet'!$H:$H))</x:f>
      </x:c>
      <x:c r="H333" s="14" t="str">
        <x:f>IF(OR(A333="",'02 Balance Sheet'!$B$2&lt;&gt;$A333),"",SUMIF('02 Balance Sheet'!$D:$D,"USD",'02 Balance Sheet'!$H:$H))</x:f>
      </x:c>
      <x:c r="I333" s="14" t="str">
        <x:f>IF(OR(A333="",'02 Balance Sheet'!$B$2&lt;&gt;$A333),"",SUMIF('02 Balance Sheet'!$D:$D,"HKD",'02 Balance Sheet'!$H:$H))</x:f>
      </x:c>
      <x:c r="J333" s="12" t="str">
        <x:f>IF(A333="","",IF(COUNT(G333:I333)&lt;3,"Awaiting Month-End Snapshot",IF(OR(B333="",D333=""),"Awaiting Monthly Inputs","Ready to Close")))</x:f>
      </x:c>
      <x:c r="K333" s="22"/>
    </x:row>
    <x:row r="334" ht="19.5" customHeight="1">
      <x:c r="A334" s="25"/>
      <x:c r="B334" s="19"/>
      <x:c r="C334" s="19"/>
      <x:c r="D334" s="19"/>
      <x:c r="E334" s="19"/>
      <x:c r="F334" s="14" t="str">
        <x:f>IF(OR(A334="",B334="",D334=""),"",SUM(B334:C334)-N(D334)+N(E334))</x:f>
      </x:c>
      <x:c r="G334" s="14" t="str">
        <x:f>IF(OR(A334="",'02 Balance Sheet'!$B$2&lt;&gt;$A334),"",SUMIF('02 Balance Sheet'!$D:$D,"CNY",'02 Balance Sheet'!$H:$H))</x:f>
      </x:c>
      <x:c r="H334" s="14" t="str">
        <x:f>IF(OR(A334="",'02 Balance Sheet'!$B$2&lt;&gt;$A334),"",SUMIF('02 Balance Sheet'!$D:$D,"USD",'02 Balance Sheet'!$H:$H))</x:f>
      </x:c>
      <x:c r="I334" s="14" t="str">
        <x:f>IF(OR(A334="",'02 Balance Sheet'!$B$2&lt;&gt;$A334),"",SUMIF('02 Balance Sheet'!$D:$D,"HKD",'02 Balance Sheet'!$H:$H))</x:f>
      </x:c>
      <x:c r="J334" s="12" t="str">
        <x:f>IF(A334="","",IF(COUNT(G334:I334)&lt;3,"Awaiting Month-End Snapshot",IF(OR(B334="",D334=""),"Awaiting Monthly Inputs","Ready to Close")))</x:f>
      </x:c>
      <x:c r="K334" s="22"/>
    </x:row>
    <x:row r="335" ht="19.5" customHeight="1">
      <x:c r="A335" s="25"/>
      <x:c r="B335" s="19"/>
      <x:c r="C335" s="19"/>
      <x:c r="D335" s="19"/>
      <x:c r="E335" s="19"/>
      <x:c r="F335" s="14" t="str">
        <x:f>IF(OR(A335="",B335="",D335=""),"",SUM(B335:C335)-N(D335)+N(E335))</x:f>
      </x:c>
      <x:c r="G335" s="14" t="str">
        <x:f>IF(OR(A335="",'02 Balance Sheet'!$B$2&lt;&gt;$A335),"",SUMIF('02 Balance Sheet'!$D:$D,"CNY",'02 Balance Sheet'!$H:$H))</x:f>
      </x:c>
      <x:c r="H335" s="14" t="str">
        <x:f>IF(OR(A335="",'02 Balance Sheet'!$B$2&lt;&gt;$A335),"",SUMIF('02 Balance Sheet'!$D:$D,"USD",'02 Balance Sheet'!$H:$H))</x:f>
      </x:c>
      <x:c r="I335" s="14" t="str">
        <x:f>IF(OR(A335="",'02 Balance Sheet'!$B$2&lt;&gt;$A335),"",SUMIF('02 Balance Sheet'!$D:$D,"HKD",'02 Balance Sheet'!$H:$H))</x:f>
      </x:c>
      <x:c r="J335" s="12" t="str">
        <x:f>IF(A335="","",IF(COUNT(G335:I335)&lt;3,"Awaiting Month-End Snapshot",IF(OR(B335="",D335=""),"Awaiting Monthly Inputs","Ready to Close")))</x:f>
      </x:c>
      <x:c r="K335" s="22"/>
    </x:row>
    <x:row r="336" ht="19.5" customHeight="1">
      <x:c r="A336" s="25"/>
      <x:c r="B336" s="19"/>
      <x:c r="C336" s="19"/>
      <x:c r="D336" s="19"/>
      <x:c r="E336" s="19"/>
      <x:c r="F336" s="14" t="str">
        <x:f>IF(OR(A336="",B336="",D336=""),"",SUM(B336:C336)-N(D336)+N(E336))</x:f>
      </x:c>
      <x:c r="G336" s="14" t="str">
        <x:f>IF(OR(A336="",'02 Balance Sheet'!$B$2&lt;&gt;$A336),"",SUMIF('02 Balance Sheet'!$D:$D,"CNY",'02 Balance Sheet'!$H:$H))</x:f>
      </x:c>
      <x:c r="H336" s="14" t="str">
        <x:f>IF(OR(A336="",'02 Balance Sheet'!$B$2&lt;&gt;$A336),"",SUMIF('02 Balance Sheet'!$D:$D,"USD",'02 Balance Sheet'!$H:$H))</x:f>
      </x:c>
      <x:c r="I336" s="14" t="str">
        <x:f>IF(OR(A336="",'02 Balance Sheet'!$B$2&lt;&gt;$A336),"",SUMIF('02 Balance Sheet'!$D:$D,"HKD",'02 Balance Sheet'!$H:$H))</x:f>
      </x:c>
      <x:c r="J336" s="12" t="str">
        <x:f>IF(A336="","",IF(COUNT(G336:I336)&lt;3,"Awaiting Month-End Snapshot",IF(OR(B336="",D336=""),"Awaiting Monthly Inputs","Ready to Close")))</x:f>
      </x:c>
      <x:c r="K336" s="22"/>
    </x:row>
    <x:row r="337" ht="19.5" customHeight="1">
      <x:c r="A337" s="25"/>
      <x:c r="B337" s="19"/>
      <x:c r="C337" s="19"/>
      <x:c r="D337" s="19"/>
      <x:c r="E337" s="19"/>
      <x:c r="F337" s="14" t="str">
        <x:f>IF(OR(A337="",B337="",D337=""),"",SUM(B337:C337)-N(D337)+N(E337))</x:f>
      </x:c>
      <x:c r="G337" s="14" t="str">
        <x:f>IF(OR(A337="",'02 Balance Sheet'!$B$2&lt;&gt;$A337),"",SUMIF('02 Balance Sheet'!$D:$D,"CNY",'02 Balance Sheet'!$H:$H))</x:f>
      </x:c>
      <x:c r="H337" s="14" t="str">
        <x:f>IF(OR(A337="",'02 Balance Sheet'!$B$2&lt;&gt;$A337),"",SUMIF('02 Balance Sheet'!$D:$D,"USD",'02 Balance Sheet'!$H:$H))</x:f>
      </x:c>
      <x:c r="I337" s="14" t="str">
        <x:f>IF(OR(A337="",'02 Balance Sheet'!$B$2&lt;&gt;$A337),"",SUMIF('02 Balance Sheet'!$D:$D,"HKD",'02 Balance Sheet'!$H:$H))</x:f>
      </x:c>
      <x:c r="J337" s="12" t="str">
        <x:f>IF(A337="","",IF(COUNT(G337:I337)&lt;3,"Awaiting Month-End Snapshot",IF(OR(B337="",D337=""),"Awaiting Monthly Inputs","Ready to Close")))</x:f>
      </x:c>
      <x:c r="K337" s="22"/>
    </x:row>
    <x:row r="338" ht="19.5" customHeight="1">
      <x:c r="A338" s="25"/>
      <x:c r="B338" s="19"/>
      <x:c r="C338" s="19"/>
      <x:c r="D338" s="19"/>
      <x:c r="E338" s="19"/>
      <x:c r="F338" s="14" t="str">
        <x:f>IF(OR(A338="",B338="",D338=""),"",SUM(B338:C338)-N(D338)+N(E338))</x:f>
      </x:c>
      <x:c r="G338" s="14" t="str">
        <x:f>IF(OR(A338="",'02 Balance Sheet'!$B$2&lt;&gt;$A338),"",SUMIF('02 Balance Sheet'!$D:$D,"CNY",'02 Balance Sheet'!$H:$H))</x:f>
      </x:c>
      <x:c r="H338" s="14" t="str">
        <x:f>IF(OR(A338="",'02 Balance Sheet'!$B$2&lt;&gt;$A338),"",SUMIF('02 Balance Sheet'!$D:$D,"USD",'02 Balance Sheet'!$H:$H))</x:f>
      </x:c>
      <x:c r="I338" s="14" t="str">
        <x:f>IF(OR(A338="",'02 Balance Sheet'!$B$2&lt;&gt;$A338),"",SUMIF('02 Balance Sheet'!$D:$D,"HKD",'02 Balance Sheet'!$H:$H))</x:f>
      </x:c>
      <x:c r="J338" s="12" t="str">
        <x:f>IF(A338="","",IF(COUNT(G338:I338)&lt;3,"Awaiting Month-End Snapshot",IF(OR(B338="",D338=""),"Awaiting Monthly Inputs","Ready to Close")))</x:f>
      </x:c>
      <x:c r="K338" s="22"/>
    </x:row>
    <x:row r="339" ht="19.5" customHeight="1">
      <x:c r="A339" s="25"/>
      <x:c r="B339" s="19"/>
      <x:c r="C339" s="19"/>
      <x:c r="D339" s="19"/>
      <x:c r="E339" s="19"/>
      <x:c r="F339" s="14" t="str">
        <x:f>IF(OR(A339="",B339="",D339=""),"",SUM(B339:C339)-N(D339)+N(E339))</x:f>
      </x:c>
      <x:c r="G339" s="14" t="str">
        <x:f>IF(OR(A339="",'02 Balance Sheet'!$B$2&lt;&gt;$A339),"",SUMIF('02 Balance Sheet'!$D:$D,"CNY",'02 Balance Sheet'!$H:$H))</x:f>
      </x:c>
      <x:c r="H339" s="14" t="str">
        <x:f>IF(OR(A339="",'02 Balance Sheet'!$B$2&lt;&gt;$A339),"",SUMIF('02 Balance Sheet'!$D:$D,"USD",'02 Balance Sheet'!$H:$H))</x:f>
      </x:c>
      <x:c r="I339" s="14" t="str">
        <x:f>IF(OR(A339="",'02 Balance Sheet'!$B$2&lt;&gt;$A339),"",SUMIF('02 Balance Sheet'!$D:$D,"HKD",'02 Balance Sheet'!$H:$H))</x:f>
      </x:c>
      <x:c r="J339" s="12" t="str">
        <x:f>IF(A339="","",IF(COUNT(G339:I339)&lt;3,"Awaiting Month-End Snapshot",IF(OR(B339="",D339=""),"Awaiting Monthly Inputs","Ready to Close")))</x:f>
      </x:c>
      <x:c r="K339" s="22"/>
    </x:row>
    <x:row r="340" ht="19.5" customHeight="1">
      <x:c r="A340" s="25"/>
      <x:c r="B340" s="19"/>
      <x:c r="C340" s="19"/>
      <x:c r="D340" s="19"/>
      <x:c r="E340" s="19"/>
      <x:c r="F340" s="14" t="str">
        <x:f>IF(OR(A340="",B340="",D340=""),"",SUM(B340:C340)-N(D340)+N(E340))</x:f>
      </x:c>
      <x:c r="G340" s="14" t="str">
        <x:f>IF(OR(A340="",'02 Balance Sheet'!$B$2&lt;&gt;$A340),"",SUMIF('02 Balance Sheet'!$D:$D,"CNY",'02 Balance Sheet'!$H:$H))</x:f>
      </x:c>
      <x:c r="H340" s="14" t="str">
        <x:f>IF(OR(A340="",'02 Balance Sheet'!$B$2&lt;&gt;$A340),"",SUMIF('02 Balance Sheet'!$D:$D,"USD",'02 Balance Sheet'!$H:$H))</x:f>
      </x:c>
      <x:c r="I340" s="14" t="str">
        <x:f>IF(OR(A340="",'02 Balance Sheet'!$B$2&lt;&gt;$A340),"",SUMIF('02 Balance Sheet'!$D:$D,"HKD",'02 Balance Sheet'!$H:$H))</x:f>
      </x:c>
      <x:c r="J340" s="12" t="str">
        <x:f>IF(A340="","",IF(COUNT(G340:I340)&lt;3,"Awaiting Month-End Snapshot",IF(OR(B340="",D340=""),"Awaiting Monthly Inputs","Ready to Close")))</x:f>
      </x:c>
      <x:c r="K340" s="22"/>
    </x:row>
    <x:row r="341" ht="19.5" customHeight="1">
      <x:c r="A341" s="25"/>
      <x:c r="B341" s="19"/>
      <x:c r="C341" s="19"/>
      <x:c r="D341" s="19"/>
      <x:c r="E341" s="19"/>
      <x:c r="F341" s="14" t="str">
        <x:f>IF(OR(A341="",B341="",D341=""),"",SUM(B341:C341)-N(D341)+N(E341))</x:f>
      </x:c>
      <x:c r="G341" s="14" t="str">
        <x:f>IF(OR(A341="",'02 Balance Sheet'!$B$2&lt;&gt;$A341),"",SUMIF('02 Balance Sheet'!$D:$D,"CNY",'02 Balance Sheet'!$H:$H))</x:f>
      </x:c>
      <x:c r="H341" s="14" t="str">
        <x:f>IF(OR(A341="",'02 Balance Sheet'!$B$2&lt;&gt;$A341),"",SUMIF('02 Balance Sheet'!$D:$D,"USD",'02 Balance Sheet'!$H:$H))</x:f>
      </x:c>
      <x:c r="I341" s="14" t="str">
        <x:f>IF(OR(A341="",'02 Balance Sheet'!$B$2&lt;&gt;$A341),"",SUMIF('02 Balance Sheet'!$D:$D,"HKD",'02 Balance Sheet'!$H:$H))</x:f>
      </x:c>
      <x:c r="J341" s="12" t="str">
        <x:f>IF(A341="","",IF(COUNT(G341:I341)&lt;3,"Awaiting Month-End Snapshot",IF(OR(B341="",D341=""),"Awaiting Monthly Inputs","Ready to Close")))</x:f>
      </x:c>
      <x:c r="K341" s="22"/>
    </x:row>
    <x:row r="342" ht="19.5" customHeight="1">
      <x:c r="A342" s="25"/>
      <x:c r="B342" s="19"/>
      <x:c r="C342" s="19"/>
      <x:c r="D342" s="19"/>
      <x:c r="E342" s="19"/>
      <x:c r="F342" s="14" t="str">
        <x:f>IF(OR(A342="",B342="",D342=""),"",SUM(B342:C342)-N(D342)+N(E342))</x:f>
      </x:c>
      <x:c r="G342" s="14" t="str">
        <x:f>IF(OR(A342="",'02 Balance Sheet'!$B$2&lt;&gt;$A342),"",SUMIF('02 Balance Sheet'!$D:$D,"CNY",'02 Balance Sheet'!$H:$H))</x:f>
      </x:c>
      <x:c r="H342" s="14" t="str">
        <x:f>IF(OR(A342="",'02 Balance Sheet'!$B$2&lt;&gt;$A342),"",SUMIF('02 Balance Sheet'!$D:$D,"USD",'02 Balance Sheet'!$H:$H))</x:f>
      </x:c>
      <x:c r="I342" s="14" t="str">
        <x:f>IF(OR(A342="",'02 Balance Sheet'!$B$2&lt;&gt;$A342),"",SUMIF('02 Balance Sheet'!$D:$D,"HKD",'02 Balance Sheet'!$H:$H))</x:f>
      </x:c>
      <x:c r="J342" s="12" t="str">
        <x:f>IF(A342="","",IF(COUNT(G342:I342)&lt;3,"Awaiting Month-End Snapshot",IF(OR(B342="",D342=""),"Awaiting Monthly Inputs","Ready to Close")))</x:f>
      </x:c>
      <x:c r="K342" s="22"/>
    </x:row>
    <x:row r="343" ht="19.5" customHeight="1">
      <x:c r="A343" s="25"/>
      <x:c r="B343" s="19"/>
      <x:c r="C343" s="19"/>
      <x:c r="D343" s="19"/>
      <x:c r="E343" s="19"/>
      <x:c r="F343" s="14" t="str">
        <x:f>IF(OR(A343="",B343="",D343=""),"",SUM(B343:C343)-N(D343)+N(E343))</x:f>
      </x:c>
      <x:c r="G343" s="14" t="str">
        <x:f>IF(OR(A343="",'02 Balance Sheet'!$B$2&lt;&gt;$A343),"",SUMIF('02 Balance Sheet'!$D:$D,"CNY",'02 Balance Sheet'!$H:$H))</x:f>
      </x:c>
      <x:c r="H343" s="14" t="str">
        <x:f>IF(OR(A343="",'02 Balance Sheet'!$B$2&lt;&gt;$A343),"",SUMIF('02 Balance Sheet'!$D:$D,"USD",'02 Balance Sheet'!$H:$H))</x:f>
      </x:c>
      <x:c r="I343" s="14" t="str">
        <x:f>IF(OR(A343="",'02 Balance Sheet'!$B$2&lt;&gt;$A343),"",SUMIF('02 Balance Sheet'!$D:$D,"HKD",'02 Balance Sheet'!$H:$H))</x:f>
      </x:c>
      <x:c r="J343" s="12" t="str">
        <x:f>IF(A343="","",IF(COUNT(G343:I343)&lt;3,"Awaiting Month-End Snapshot",IF(OR(B343="",D343=""),"Awaiting Monthly Inputs","Ready to Close")))</x:f>
      </x:c>
      <x:c r="K343" s="22"/>
    </x:row>
    <x:row r="344" ht="19.5" customHeight="1">
      <x:c r="A344" s="25"/>
      <x:c r="B344" s="19"/>
      <x:c r="C344" s="19"/>
      <x:c r="D344" s="19"/>
      <x:c r="E344" s="19"/>
      <x:c r="F344" s="14" t="str">
        <x:f>IF(OR(A344="",B344="",D344=""),"",SUM(B344:C344)-N(D344)+N(E344))</x:f>
      </x:c>
      <x:c r="G344" s="14" t="str">
        <x:f>IF(OR(A344="",'02 Balance Sheet'!$B$2&lt;&gt;$A344),"",SUMIF('02 Balance Sheet'!$D:$D,"CNY",'02 Balance Sheet'!$H:$H))</x:f>
      </x:c>
      <x:c r="H344" s="14" t="str">
        <x:f>IF(OR(A344="",'02 Balance Sheet'!$B$2&lt;&gt;$A344),"",SUMIF('02 Balance Sheet'!$D:$D,"USD",'02 Balance Sheet'!$H:$H))</x:f>
      </x:c>
      <x:c r="I344" s="14" t="str">
        <x:f>IF(OR(A344="",'02 Balance Sheet'!$B$2&lt;&gt;$A344),"",SUMIF('02 Balance Sheet'!$D:$D,"HKD",'02 Balance Sheet'!$H:$H))</x:f>
      </x:c>
      <x:c r="J344" s="12" t="str">
        <x:f>IF(A344="","",IF(COUNT(G344:I344)&lt;3,"Awaiting Month-End Snapshot",IF(OR(B344="",D344=""),"Awaiting Monthly Inputs","Ready to Close")))</x:f>
      </x:c>
      <x:c r="K344" s="22"/>
    </x:row>
    <x:row r="345" ht="19.5" customHeight="1">
      <x:c r="A345" s="25"/>
      <x:c r="B345" s="19"/>
      <x:c r="C345" s="19"/>
      <x:c r="D345" s="19"/>
      <x:c r="E345" s="19"/>
      <x:c r="F345" s="14" t="str">
        <x:f>IF(OR(A345="",B345="",D345=""),"",SUM(B345:C345)-N(D345)+N(E345))</x:f>
      </x:c>
      <x:c r="G345" s="14" t="str">
        <x:f>IF(OR(A345="",'02 Balance Sheet'!$B$2&lt;&gt;$A345),"",SUMIF('02 Balance Sheet'!$D:$D,"CNY",'02 Balance Sheet'!$H:$H))</x:f>
      </x:c>
      <x:c r="H345" s="14" t="str">
        <x:f>IF(OR(A345="",'02 Balance Sheet'!$B$2&lt;&gt;$A345),"",SUMIF('02 Balance Sheet'!$D:$D,"USD",'02 Balance Sheet'!$H:$H))</x:f>
      </x:c>
      <x:c r="I345" s="14" t="str">
        <x:f>IF(OR(A345="",'02 Balance Sheet'!$B$2&lt;&gt;$A345),"",SUMIF('02 Balance Sheet'!$D:$D,"HKD",'02 Balance Sheet'!$H:$H))</x:f>
      </x:c>
      <x:c r="J345" s="12" t="str">
        <x:f>IF(A345="","",IF(COUNT(G345:I345)&lt;3,"Awaiting Month-End Snapshot",IF(OR(B345="",D345=""),"Awaiting Monthly Inputs","Ready to Close")))</x:f>
      </x:c>
      <x:c r="K345" s="22"/>
    </x:row>
    <x:row r="346" ht="19.5" customHeight="1">
      <x:c r="A346" s="25"/>
      <x:c r="B346" s="19"/>
      <x:c r="C346" s="19"/>
      <x:c r="D346" s="19"/>
      <x:c r="E346" s="19"/>
      <x:c r="F346" s="14" t="str">
        <x:f>IF(OR(A346="",B346="",D346=""),"",SUM(B346:C346)-N(D346)+N(E346))</x:f>
      </x:c>
      <x:c r="G346" s="14" t="str">
        <x:f>IF(OR(A346="",'02 Balance Sheet'!$B$2&lt;&gt;$A346),"",SUMIF('02 Balance Sheet'!$D:$D,"CNY",'02 Balance Sheet'!$H:$H))</x:f>
      </x:c>
      <x:c r="H346" s="14" t="str">
        <x:f>IF(OR(A346="",'02 Balance Sheet'!$B$2&lt;&gt;$A346),"",SUMIF('02 Balance Sheet'!$D:$D,"USD",'02 Balance Sheet'!$H:$H))</x:f>
      </x:c>
      <x:c r="I346" s="14" t="str">
        <x:f>IF(OR(A346="",'02 Balance Sheet'!$B$2&lt;&gt;$A346),"",SUMIF('02 Balance Sheet'!$D:$D,"HKD",'02 Balance Sheet'!$H:$H))</x:f>
      </x:c>
      <x:c r="J346" s="12" t="str">
        <x:f>IF(A346="","",IF(COUNT(G346:I346)&lt;3,"Awaiting Month-End Snapshot",IF(OR(B346="",D346=""),"Awaiting Monthly Inputs","Ready to Close")))</x:f>
      </x:c>
      <x:c r="K346" s="22"/>
    </x:row>
    <x:row r="347" ht="19.5" customHeight="1">
      <x:c r="A347" s="25"/>
      <x:c r="B347" s="19"/>
      <x:c r="C347" s="19"/>
      <x:c r="D347" s="19"/>
      <x:c r="E347" s="19"/>
      <x:c r="F347" s="14" t="str">
        <x:f>IF(OR(A347="",B347="",D347=""),"",SUM(B347:C347)-N(D347)+N(E347))</x:f>
      </x:c>
      <x:c r="G347" s="14" t="str">
        <x:f>IF(OR(A347="",'02 Balance Sheet'!$B$2&lt;&gt;$A347),"",SUMIF('02 Balance Sheet'!$D:$D,"CNY",'02 Balance Sheet'!$H:$H))</x:f>
      </x:c>
      <x:c r="H347" s="14" t="str">
        <x:f>IF(OR(A347="",'02 Balance Sheet'!$B$2&lt;&gt;$A347),"",SUMIF('02 Balance Sheet'!$D:$D,"USD",'02 Balance Sheet'!$H:$H))</x:f>
      </x:c>
      <x:c r="I347" s="14" t="str">
        <x:f>IF(OR(A347="",'02 Balance Sheet'!$B$2&lt;&gt;$A347),"",SUMIF('02 Balance Sheet'!$D:$D,"HKD",'02 Balance Sheet'!$H:$H))</x:f>
      </x:c>
      <x:c r="J347" s="12" t="str">
        <x:f>IF(A347="","",IF(COUNT(G347:I347)&lt;3,"Awaiting Month-End Snapshot",IF(OR(B347="",D347=""),"Awaiting Monthly Inputs","Ready to Close")))</x:f>
      </x:c>
      <x:c r="K347" s="22"/>
    </x:row>
    <x:row r="348" ht="19.5" customHeight="1">
      <x:c r="A348" s="25"/>
      <x:c r="B348" s="19"/>
      <x:c r="C348" s="19"/>
      <x:c r="D348" s="19"/>
      <x:c r="E348" s="19"/>
      <x:c r="F348" s="14" t="str">
        <x:f>IF(OR(A348="",B348="",D348=""),"",SUM(B348:C348)-N(D348)+N(E348))</x:f>
      </x:c>
      <x:c r="G348" s="14" t="str">
        <x:f>IF(OR(A348="",'02 Balance Sheet'!$B$2&lt;&gt;$A348),"",SUMIF('02 Balance Sheet'!$D:$D,"CNY",'02 Balance Sheet'!$H:$H))</x:f>
      </x:c>
      <x:c r="H348" s="14" t="str">
        <x:f>IF(OR(A348="",'02 Balance Sheet'!$B$2&lt;&gt;$A348),"",SUMIF('02 Balance Sheet'!$D:$D,"USD",'02 Balance Sheet'!$H:$H))</x:f>
      </x:c>
      <x:c r="I348" s="14" t="str">
        <x:f>IF(OR(A348="",'02 Balance Sheet'!$B$2&lt;&gt;$A348),"",SUMIF('02 Balance Sheet'!$D:$D,"HKD",'02 Balance Sheet'!$H:$H))</x:f>
      </x:c>
      <x:c r="J348" s="12" t="str">
        <x:f>IF(A348="","",IF(COUNT(G348:I348)&lt;3,"Awaiting Month-End Snapshot",IF(OR(B348="",D348=""),"Awaiting Monthly Inputs","Ready to Close")))</x:f>
      </x:c>
      <x:c r="K348" s="22"/>
    </x:row>
    <x:row r="349" ht="19.5" customHeight="1">
      <x:c r="A349" s="25"/>
      <x:c r="B349" s="19"/>
      <x:c r="C349" s="19"/>
      <x:c r="D349" s="19"/>
      <x:c r="E349" s="19"/>
      <x:c r="F349" s="14" t="str">
        <x:f>IF(OR(A349="",B349="",D349=""),"",SUM(B349:C349)-N(D349)+N(E349))</x:f>
      </x:c>
      <x:c r="G349" s="14" t="str">
        <x:f>IF(OR(A349="",'02 Balance Sheet'!$B$2&lt;&gt;$A349),"",SUMIF('02 Balance Sheet'!$D:$D,"CNY",'02 Balance Sheet'!$H:$H))</x:f>
      </x:c>
      <x:c r="H349" s="14" t="str">
        <x:f>IF(OR(A349="",'02 Balance Sheet'!$B$2&lt;&gt;$A349),"",SUMIF('02 Balance Sheet'!$D:$D,"USD",'02 Balance Sheet'!$H:$H))</x:f>
      </x:c>
      <x:c r="I349" s="14" t="str">
        <x:f>IF(OR(A349="",'02 Balance Sheet'!$B$2&lt;&gt;$A349),"",SUMIF('02 Balance Sheet'!$D:$D,"HKD",'02 Balance Sheet'!$H:$H))</x:f>
      </x:c>
      <x:c r="J349" s="12" t="str">
        <x:f>IF(A349="","",IF(COUNT(G349:I349)&lt;3,"Awaiting Month-End Snapshot",IF(OR(B349="",D349=""),"Awaiting Monthly Inputs","Ready to Close")))</x:f>
      </x:c>
      <x:c r="K349" s="22"/>
    </x:row>
    <x:row r="350" ht="19.5" customHeight="1">
      <x:c r="A350" s="25"/>
      <x:c r="B350" s="19"/>
      <x:c r="C350" s="19"/>
      <x:c r="D350" s="19"/>
      <x:c r="E350" s="19"/>
      <x:c r="F350" s="14" t="str">
        <x:f>IF(OR(A350="",B350="",D350=""),"",SUM(B350:C350)-N(D350)+N(E350))</x:f>
      </x:c>
      <x:c r="G350" s="14" t="str">
        <x:f>IF(OR(A350="",'02 Balance Sheet'!$B$2&lt;&gt;$A350),"",SUMIF('02 Balance Sheet'!$D:$D,"CNY",'02 Balance Sheet'!$H:$H))</x:f>
      </x:c>
      <x:c r="H350" s="14" t="str">
        <x:f>IF(OR(A350="",'02 Balance Sheet'!$B$2&lt;&gt;$A350),"",SUMIF('02 Balance Sheet'!$D:$D,"USD",'02 Balance Sheet'!$H:$H))</x:f>
      </x:c>
      <x:c r="I350" s="14" t="str">
        <x:f>IF(OR(A350="",'02 Balance Sheet'!$B$2&lt;&gt;$A350),"",SUMIF('02 Balance Sheet'!$D:$D,"HKD",'02 Balance Sheet'!$H:$H))</x:f>
      </x:c>
      <x:c r="J350" s="12" t="str">
        <x:f>IF(A350="","",IF(COUNT(G350:I350)&lt;3,"Awaiting Month-End Snapshot",IF(OR(B350="",D350=""),"Awaiting Monthly Inputs","Ready to Close")))</x:f>
      </x:c>
      <x:c r="K350" s="22"/>
    </x:row>
    <x:row r="351" ht="19.5" customHeight="1">
      <x:c r="A351" s="25"/>
      <x:c r="B351" s="19"/>
      <x:c r="C351" s="19"/>
      <x:c r="D351" s="19"/>
      <x:c r="E351" s="19"/>
      <x:c r="F351" s="14" t="str">
        <x:f>IF(OR(A351="",B351="",D351=""),"",SUM(B351:C351)-N(D351)+N(E351))</x:f>
      </x:c>
      <x:c r="G351" s="14" t="str">
        <x:f>IF(OR(A351="",'02 Balance Sheet'!$B$2&lt;&gt;$A351),"",SUMIF('02 Balance Sheet'!$D:$D,"CNY",'02 Balance Sheet'!$H:$H))</x:f>
      </x:c>
      <x:c r="H351" s="14" t="str">
        <x:f>IF(OR(A351="",'02 Balance Sheet'!$B$2&lt;&gt;$A351),"",SUMIF('02 Balance Sheet'!$D:$D,"USD",'02 Balance Sheet'!$H:$H))</x:f>
      </x:c>
      <x:c r="I351" s="14" t="str">
        <x:f>IF(OR(A351="",'02 Balance Sheet'!$B$2&lt;&gt;$A351),"",SUMIF('02 Balance Sheet'!$D:$D,"HKD",'02 Balance Sheet'!$H:$H))</x:f>
      </x:c>
      <x:c r="J351" s="12" t="str">
        <x:f>IF(A351="","",IF(COUNT(G351:I351)&lt;3,"Awaiting Month-End Snapshot",IF(OR(B351="",D351=""),"Awaiting Monthly Inputs","Ready to Close")))</x:f>
      </x:c>
      <x:c r="K351" s="22"/>
    </x:row>
    <x:row r="352" ht="19.5" customHeight="1">
      <x:c r="A352" s="25"/>
      <x:c r="B352" s="19"/>
      <x:c r="C352" s="19"/>
      <x:c r="D352" s="19"/>
      <x:c r="E352" s="19"/>
      <x:c r="F352" s="14" t="str">
        <x:f>IF(OR(A352="",B352="",D352=""),"",SUM(B352:C352)-N(D352)+N(E352))</x:f>
      </x:c>
      <x:c r="G352" s="14" t="str">
        <x:f>IF(OR(A352="",'02 Balance Sheet'!$B$2&lt;&gt;$A352),"",SUMIF('02 Balance Sheet'!$D:$D,"CNY",'02 Balance Sheet'!$H:$H))</x:f>
      </x:c>
      <x:c r="H352" s="14" t="str">
        <x:f>IF(OR(A352="",'02 Balance Sheet'!$B$2&lt;&gt;$A352),"",SUMIF('02 Balance Sheet'!$D:$D,"USD",'02 Balance Sheet'!$H:$H))</x:f>
      </x:c>
      <x:c r="I352" s="14" t="str">
        <x:f>IF(OR(A352="",'02 Balance Sheet'!$B$2&lt;&gt;$A352),"",SUMIF('02 Balance Sheet'!$D:$D,"HKD",'02 Balance Sheet'!$H:$H))</x:f>
      </x:c>
      <x:c r="J352" s="12" t="str">
        <x:f>IF(A352="","",IF(COUNT(G352:I352)&lt;3,"Awaiting Month-End Snapshot",IF(OR(B352="",D352=""),"Awaiting Monthly Inputs","Ready to Close")))</x:f>
      </x:c>
      <x:c r="K352" s="22"/>
    </x:row>
    <x:row r="353" ht="19.5" customHeight="1">
      <x:c r="A353" s="25"/>
      <x:c r="B353" s="19"/>
      <x:c r="C353" s="19"/>
      <x:c r="D353" s="19"/>
      <x:c r="E353" s="19"/>
      <x:c r="F353" s="14" t="str">
        <x:f>IF(OR(A353="",B353="",D353=""),"",SUM(B353:C353)-N(D353)+N(E353))</x:f>
      </x:c>
      <x:c r="G353" s="14" t="str">
        <x:f>IF(OR(A353="",'02 Balance Sheet'!$B$2&lt;&gt;$A353),"",SUMIF('02 Balance Sheet'!$D:$D,"CNY",'02 Balance Sheet'!$H:$H))</x:f>
      </x:c>
      <x:c r="H353" s="14" t="str">
        <x:f>IF(OR(A353="",'02 Balance Sheet'!$B$2&lt;&gt;$A353),"",SUMIF('02 Balance Sheet'!$D:$D,"USD",'02 Balance Sheet'!$H:$H))</x:f>
      </x:c>
      <x:c r="I353" s="14" t="str">
        <x:f>IF(OR(A353="",'02 Balance Sheet'!$B$2&lt;&gt;$A353),"",SUMIF('02 Balance Sheet'!$D:$D,"HKD",'02 Balance Sheet'!$H:$H))</x:f>
      </x:c>
      <x:c r="J353" s="12" t="str">
        <x:f>IF(A353="","",IF(COUNT(G353:I353)&lt;3,"Awaiting Month-End Snapshot",IF(OR(B353="",D353=""),"Awaiting Monthly Inputs","Ready to Close")))</x:f>
      </x:c>
      <x:c r="K353" s="22"/>
    </x:row>
    <x:row r="354" ht="19.5" customHeight="1">
      <x:c r="A354" s="25"/>
      <x:c r="B354" s="19"/>
      <x:c r="C354" s="19"/>
      <x:c r="D354" s="19"/>
      <x:c r="E354" s="19"/>
      <x:c r="F354" s="14" t="str">
        <x:f>IF(OR(A354="",B354="",D354=""),"",SUM(B354:C354)-N(D354)+N(E354))</x:f>
      </x:c>
      <x:c r="G354" s="14" t="str">
        <x:f>IF(OR(A354="",'02 Balance Sheet'!$B$2&lt;&gt;$A354),"",SUMIF('02 Balance Sheet'!$D:$D,"CNY",'02 Balance Sheet'!$H:$H))</x:f>
      </x:c>
      <x:c r="H354" s="14" t="str">
        <x:f>IF(OR(A354="",'02 Balance Sheet'!$B$2&lt;&gt;$A354),"",SUMIF('02 Balance Sheet'!$D:$D,"USD",'02 Balance Sheet'!$H:$H))</x:f>
      </x:c>
      <x:c r="I354" s="14" t="str">
        <x:f>IF(OR(A354="",'02 Balance Sheet'!$B$2&lt;&gt;$A354),"",SUMIF('02 Balance Sheet'!$D:$D,"HKD",'02 Balance Sheet'!$H:$H))</x:f>
      </x:c>
      <x:c r="J354" s="12" t="str">
        <x:f>IF(A354="","",IF(COUNT(G354:I354)&lt;3,"Awaiting Month-End Snapshot",IF(OR(B354="",D354=""),"Awaiting Monthly Inputs","Ready to Close")))</x:f>
      </x:c>
      <x:c r="K354" s="22"/>
    </x:row>
    <x:row r="355" ht="19.5" customHeight="1">
      <x:c r="A355" s="25"/>
      <x:c r="B355" s="19"/>
      <x:c r="C355" s="19"/>
      <x:c r="D355" s="19"/>
      <x:c r="E355" s="19"/>
      <x:c r="F355" s="14" t="str">
        <x:f>IF(OR(A355="",B355="",D355=""),"",SUM(B355:C355)-N(D355)+N(E355))</x:f>
      </x:c>
      <x:c r="G355" s="14" t="str">
        <x:f>IF(OR(A355="",'02 Balance Sheet'!$B$2&lt;&gt;$A355),"",SUMIF('02 Balance Sheet'!$D:$D,"CNY",'02 Balance Sheet'!$H:$H))</x:f>
      </x:c>
      <x:c r="H355" s="14" t="str">
        <x:f>IF(OR(A355="",'02 Balance Sheet'!$B$2&lt;&gt;$A355),"",SUMIF('02 Balance Sheet'!$D:$D,"USD",'02 Balance Sheet'!$H:$H))</x:f>
      </x:c>
      <x:c r="I355" s="14" t="str">
        <x:f>IF(OR(A355="",'02 Balance Sheet'!$B$2&lt;&gt;$A355),"",SUMIF('02 Balance Sheet'!$D:$D,"HKD",'02 Balance Sheet'!$H:$H))</x:f>
      </x:c>
      <x:c r="J355" s="12" t="str">
        <x:f>IF(A355="","",IF(COUNT(G355:I355)&lt;3,"Awaiting Month-End Snapshot",IF(OR(B355="",D355=""),"Awaiting Monthly Inputs","Ready to Close")))</x:f>
      </x:c>
      <x:c r="K355" s="22"/>
    </x:row>
    <x:row r="356" ht="19.5" customHeight="1">
      <x:c r="A356" s="25"/>
      <x:c r="B356" s="19"/>
      <x:c r="C356" s="19"/>
      <x:c r="D356" s="19"/>
      <x:c r="E356" s="19"/>
      <x:c r="F356" s="14" t="str">
        <x:f>IF(OR(A356="",B356="",D356=""),"",SUM(B356:C356)-N(D356)+N(E356))</x:f>
      </x:c>
      <x:c r="G356" s="14" t="str">
        <x:f>IF(OR(A356="",'02 Balance Sheet'!$B$2&lt;&gt;$A356),"",SUMIF('02 Balance Sheet'!$D:$D,"CNY",'02 Balance Sheet'!$H:$H))</x:f>
      </x:c>
      <x:c r="H356" s="14" t="str">
        <x:f>IF(OR(A356="",'02 Balance Sheet'!$B$2&lt;&gt;$A356),"",SUMIF('02 Balance Sheet'!$D:$D,"USD",'02 Balance Sheet'!$H:$H))</x:f>
      </x:c>
      <x:c r="I356" s="14" t="str">
        <x:f>IF(OR(A356="",'02 Balance Sheet'!$B$2&lt;&gt;$A356),"",SUMIF('02 Balance Sheet'!$D:$D,"HKD",'02 Balance Sheet'!$H:$H))</x:f>
      </x:c>
      <x:c r="J356" s="12" t="str">
        <x:f>IF(A356="","",IF(COUNT(G356:I356)&lt;3,"Awaiting Month-End Snapshot",IF(OR(B356="",D356=""),"Awaiting Monthly Inputs","Ready to Close")))</x:f>
      </x:c>
      <x:c r="K356" s="22"/>
    </x:row>
    <x:row r="357" ht="19.5" customHeight="1">
      <x:c r="A357" s="25"/>
      <x:c r="B357" s="19"/>
      <x:c r="C357" s="19"/>
      <x:c r="D357" s="19"/>
      <x:c r="E357" s="19"/>
      <x:c r="F357" s="14" t="str">
        <x:f>IF(OR(A357="",B357="",D357=""),"",SUM(B357:C357)-N(D357)+N(E357))</x:f>
      </x:c>
      <x:c r="G357" s="14" t="str">
        <x:f>IF(OR(A357="",'02 Balance Sheet'!$B$2&lt;&gt;$A357),"",SUMIF('02 Balance Sheet'!$D:$D,"CNY",'02 Balance Sheet'!$H:$H))</x:f>
      </x:c>
      <x:c r="H357" s="14" t="str">
        <x:f>IF(OR(A357="",'02 Balance Sheet'!$B$2&lt;&gt;$A357),"",SUMIF('02 Balance Sheet'!$D:$D,"USD",'02 Balance Sheet'!$H:$H))</x:f>
      </x:c>
      <x:c r="I357" s="14" t="str">
        <x:f>IF(OR(A357="",'02 Balance Sheet'!$B$2&lt;&gt;$A357),"",SUMIF('02 Balance Sheet'!$D:$D,"HKD",'02 Balance Sheet'!$H:$H))</x:f>
      </x:c>
      <x:c r="J357" s="12" t="str">
        <x:f>IF(A357="","",IF(COUNT(G357:I357)&lt;3,"Awaiting Month-End Snapshot",IF(OR(B357="",D357=""),"Awaiting Monthly Inputs","Ready to Close")))</x:f>
      </x:c>
      <x:c r="K357" s="22"/>
    </x:row>
    <x:row r="358" ht="19.5" customHeight="1">
      <x:c r="A358" s="25"/>
      <x:c r="B358" s="19"/>
      <x:c r="C358" s="19"/>
      <x:c r="D358" s="19"/>
      <x:c r="E358" s="19"/>
      <x:c r="F358" s="14" t="str">
        <x:f>IF(OR(A358="",B358="",D358=""),"",SUM(B358:C358)-N(D358)+N(E358))</x:f>
      </x:c>
      <x:c r="G358" s="14" t="str">
        <x:f>IF(OR(A358="",'02 Balance Sheet'!$B$2&lt;&gt;$A358),"",SUMIF('02 Balance Sheet'!$D:$D,"CNY",'02 Balance Sheet'!$H:$H))</x:f>
      </x:c>
      <x:c r="H358" s="14" t="str">
        <x:f>IF(OR(A358="",'02 Balance Sheet'!$B$2&lt;&gt;$A358),"",SUMIF('02 Balance Sheet'!$D:$D,"USD",'02 Balance Sheet'!$H:$H))</x:f>
      </x:c>
      <x:c r="I358" s="14" t="str">
        <x:f>IF(OR(A358="",'02 Balance Sheet'!$B$2&lt;&gt;$A358),"",SUMIF('02 Balance Sheet'!$D:$D,"HKD",'02 Balance Sheet'!$H:$H))</x:f>
      </x:c>
      <x:c r="J358" s="12" t="str">
        <x:f>IF(A358="","",IF(COUNT(G358:I358)&lt;3,"Awaiting Month-End Snapshot",IF(OR(B358="",D358=""),"Awaiting Monthly Inputs","Ready to Close")))</x:f>
      </x:c>
      <x:c r="K358" s="22"/>
    </x:row>
    <x:row r="359" ht="19.5" customHeight="1">
      <x:c r="A359" s="25"/>
      <x:c r="B359" s="19"/>
      <x:c r="C359" s="19"/>
      <x:c r="D359" s="19"/>
      <x:c r="E359" s="19"/>
      <x:c r="F359" s="14" t="str">
        <x:f>IF(OR(A359="",B359="",D359=""),"",SUM(B359:C359)-N(D359)+N(E359))</x:f>
      </x:c>
      <x:c r="G359" s="14" t="str">
        <x:f>IF(OR(A359="",'02 Balance Sheet'!$B$2&lt;&gt;$A359),"",SUMIF('02 Balance Sheet'!$D:$D,"CNY",'02 Balance Sheet'!$H:$H))</x:f>
      </x:c>
      <x:c r="H359" s="14" t="str">
        <x:f>IF(OR(A359="",'02 Balance Sheet'!$B$2&lt;&gt;$A359),"",SUMIF('02 Balance Sheet'!$D:$D,"USD",'02 Balance Sheet'!$H:$H))</x:f>
      </x:c>
      <x:c r="I359" s="14" t="str">
        <x:f>IF(OR(A359="",'02 Balance Sheet'!$B$2&lt;&gt;$A359),"",SUMIF('02 Balance Sheet'!$D:$D,"HKD",'02 Balance Sheet'!$H:$H))</x:f>
      </x:c>
      <x:c r="J359" s="12" t="str">
        <x:f>IF(A359="","",IF(COUNT(G359:I359)&lt;3,"Awaiting Month-End Snapshot",IF(OR(B359="",D359=""),"Awaiting Monthly Inputs","Ready to Close")))</x:f>
      </x:c>
      <x:c r="K359" s="22"/>
    </x:row>
    <x:row r="360" ht="19.5" customHeight="1">
      <x:c r="A360" s="25"/>
      <x:c r="B360" s="19"/>
      <x:c r="C360" s="19"/>
      <x:c r="D360" s="19"/>
      <x:c r="E360" s="19"/>
      <x:c r="F360" s="14" t="str">
        <x:f>IF(OR(A360="",B360="",D360=""),"",SUM(B360:C360)-N(D360)+N(E360))</x:f>
      </x:c>
      <x:c r="G360" s="14" t="str">
        <x:f>IF(OR(A360="",'02 Balance Sheet'!$B$2&lt;&gt;$A360),"",SUMIF('02 Balance Sheet'!$D:$D,"CNY",'02 Balance Sheet'!$H:$H))</x:f>
      </x:c>
      <x:c r="H360" s="14" t="str">
        <x:f>IF(OR(A360="",'02 Balance Sheet'!$B$2&lt;&gt;$A360),"",SUMIF('02 Balance Sheet'!$D:$D,"USD",'02 Balance Sheet'!$H:$H))</x:f>
      </x:c>
      <x:c r="I360" s="14" t="str">
        <x:f>IF(OR(A360="",'02 Balance Sheet'!$B$2&lt;&gt;$A360),"",SUMIF('02 Balance Sheet'!$D:$D,"HKD",'02 Balance Sheet'!$H:$H))</x:f>
      </x:c>
      <x:c r="J360" s="12" t="str">
        <x:f>IF(A360="","",IF(COUNT(G360:I360)&lt;3,"Awaiting Month-End Snapshot",IF(OR(B360="",D360=""),"Awaiting Monthly Inputs","Ready to Close")))</x:f>
      </x:c>
      <x:c r="K360" s="22"/>
    </x:row>
    <x:row r="361" ht="19.5" customHeight="1">
      <x:c r="A361" s="25"/>
      <x:c r="B361" s="19"/>
      <x:c r="C361" s="19"/>
      <x:c r="D361" s="19"/>
      <x:c r="E361" s="19"/>
      <x:c r="F361" s="14" t="str">
        <x:f>IF(OR(A361="",B361="",D361=""),"",SUM(B361:C361)-N(D361)+N(E361))</x:f>
      </x:c>
      <x:c r="G361" s="14" t="str">
        <x:f>IF(OR(A361="",'02 Balance Sheet'!$B$2&lt;&gt;$A361),"",SUMIF('02 Balance Sheet'!$D:$D,"CNY",'02 Balance Sheet'!$H:$H))</x:f>
      </x:c>
      <x:c r="H361" s="14" t="str">
        <x:f>IF(OR(A361="",'02 Balance Sheet'!$B$2&lt;&gt;$A361),"",SUMIF('02 Balance Sheet'!$D:$D,"USD",'02 Balance Sheet'!$H:$H))</x:f>
      </x:c>
      <x:c r="I361" s="14" t="str">
        <x:f>IF(OR(A361="",'02 Balance Sheet'!$B$2&lt;&gt;$A361),"",SUMIF('02 Balance Sheet'!$D:$D,"HKD",'02 Balance Sheet'!$H:$H))</x:f>
      </x:c>
      <x:c r="J361" s="12" t="str">
        <x:f>IF(A361="","",IF(COUNT(G361:I361)&lt;3,"Awaiting Month-End Snapshot",IF(OR(B361="",D361=""),"Awaiting Monthly Inputs","Ready to Close")))</x:f>
      </x:c>
      <x:c r="K361" s="22"/>
    </x:row>
    <x:row r="362" ht="19.5" customHeight="1">
      <x:c r="A362" s="25"/>
      <x:c r="B362" s="19"/>
      <x:c r="C362" s="19"/>
      <x:c r="D362" s="19"/>
      <x:c r="E362" s="19"/>
      <x:c r="F362" s="14" t="str">
        <x:f>IF(OR(A362="",B362="",D362=""),"",SUM(B362:C362)-N(D362)+N(E362))</x:f>
      </x:c>
      <x:c r="G362" s="14" t="str">
        <x:f>IF(OR(A362="",'02 Balance Sheet'!$B$2&lt;&gt;$A362),"",SUMIF('02 Balance Sheet'!$D:$D,"CNY",'02 Balance Sheet'!$H:$H))</x:f>
      </x:c>
      <x:c r="H362" s="14" t="str">
        <x:f>IF(OR(A362="",'02 Balance Sheet'!$B$2&lt;&gt;$A362),"",SUMIF('02 Balance Sheet'!$D:$D,"USD",'02 Balance Sheet'!$H:$H))</x:f>
      </x:c>
      <x:c r="I362" s="14" t="str">
        <x:f>IF(OR(A362="",'02 Balance Sheet'!$B$2&lt;&gt;$A362),"",SUMIF('02 Balance Sheet'!$D:$D,"HKD",'02 Balance Sheet'!$H:$H))</x:f>
      </x:c>
      <x:c r="J362" s="12" t="str">
        <x:f>IF(A362="","",IF(COUNT(G362:I362)&lt;3,"Awaiting Month-End Snapshot",IF(OR(B362="",D362=""),"Awaiting Monthly Inputs","Ready to Close")))</x:f>
      </x:c>
      <x:c r="K362" s="22"/>
    </x:row>
    <x:row r="363" ht="19.5" customHeight="1">
      <x:c r="A363" s="25"/>
      <x:c r="B363" s="19"/>
      <x:c r="C363" s="19"/>
      <x:c r="D363" s="19"/>
      <x:c r="E363" s="19"/>
      <x:c r="F363" s="14" t="str">
        <x:f>IF(OR(A363="",B363="",D363=""),"",SUM(B363:C363)-N(D363)+N(E363))</x:f>
      </x:c>
      <x:c r="G363" s="14" t="str">
        <x:f>IF(OR(A363="",'02 Balance Sheet'!$B$2&lt;&gt;$A363),"",SUMIF('02 Balance Sheet'!$D:$D,"CNY",'02 Balance Sheet'!$H:$H))</x:f>
      </x:c>
      <x:c r="H363" s="14" t="str">
        <x:f>IF(OR(A363="",'02 Balance Sheet'!$B$2&lt;&gt;$A363),"",SUMIF('02 Balance Sheet'!$D:$D,"USD",'02 Balance Sheet'!$H:$H))</x:f>
      </x:c>
      <x:c r="I363" s="14" t="str">
        <x:f>IF(OR(A363="",'02 Balance Sheet'!$B$2&lt;&gt;$A363),"",SUMIF('02 Balance Sheet'!$D:$D,"HKD",'02 Balance Sheet'!$H:$H))</x:f>
      </x:c>
      <x:c r="J363" s="12" t="str">
        <x:f>IF(A363="","",IF(COUNT(G363:I363)&lt;3,"Awaiting Month-End Snapshot",IF(OR(B363="",D363=""),"Awaiting Monthly Inputs","Ready to Close")))</x:f>
      </x:c>
      <x:c r="K363" s="22"/>
    </x:row>
    <x:row r="364" ht="19.5" customHeight="1">
      <x:c r="A364" s="25"/>
      <x:c r="B364" s="19"/>
      <x:c r="C364" s="19"/>
      <x:c r="D364" s="19"/>
      <x:c r="E364" s="19"/>
      <x:c r="F364" s="14" t="str">
        <x:f>IF(OR(A364="",B364="",D364=""),"",SUM(B364:C364)-N(D364)+N(E364))</x:f>
      </x:c>
      <x:c r="G364" s="14" t="str">
        <x:f>IF(OR(A364="",'02 Balance Sheet'!$B$2&lt;&gt;$A364),"",SUMIF('02 Balance Sheet'!$D:$D,"CNY",'02 Balance Sheet'!$H:$H))</x:f>
      </x:c>
      <x:c r="H364" s="14" t="str">
        <x:f>IF(OR(A364="",'02 Balance Sheet'!$B$2&lt;&gt;$A364),"",SUMIF('02 Balance Sheet'!$D:$D,"USD",'02 Balance Sheet'!$H:$H))</x:f>
      </x:c>
      <x:c r="I364" s="14" t="str">
        <x:f>IF(OR(A364="",'02 Balance Sheet'!$B$2&lt;&gt;$A364),"",SUMIF('02 Balance Sheet'!$D:$D,"HKD",'02 Balance Sheet'!$H:$H))</x:f>
      </x:c>
      <x:c r="J364" s="12" t="str">
        <x:f>IF(A364="","",IF(COUNT(G364:I364)&lt;3,"Awaiting Month-End Snapshot",IF(OR(B364="",D364=""),"Awaiting Monthly Inputs","Ready to Close")))</x:f>
      </x:c>
      <x:c r="K364" s="22"/>
    </x:row>
    <x:row r="365" ht="19.5" customHeight="1">
      <x:c r="A365" s="25"/>
      <x:c r="B365" s="19"/>
      <x:c r="C365" s="19"/>
      <x:c r="D365" s="19"/>
      <x:c r="E365" s="19"/>
      <x:c r="F365" s="14" t="str">
        <x:f>IF(OR(A365="",B365="",D365=""),"",SUM(B365:C365)-N(D365)+N(E365))</x:f>
      </x:c>
      <x:c r="G365" s="14" t="str">
        <x:f>IF(OR(A365="",'02 Balance Sheet'!$B$2&lt;&gt;$A365),"",SUMIF('02 Balance Sheet'!$D:$D,"CNY",'02 Balance Sheet'!$H:$H))</x:f>
      </x:c>
      <x:c r="H365" s="14" t="str">
        <x:f>IF(OR(A365="",'02 Balance Sheet'!$B$2&lt;&gt;$A365),"",SUMIF('02 Balance Sheet'!$D:$D,"USD",'02 Balance Sheet'!$H:$H))</x:f>
      </x:c>
      <x:c r="I365" s="14" t="str">
        <x:f>IF(OR(A365="",'02 Balance Sheet'!$B$2&lt;&gt;$A365),"",SUMIF('02 Balance Sheet'!$D:$D,"HKD",'02 Balance Sheet'!$H:$H))</x:f>
      </x:c>
      <x:c r="J365" s="12" t="str">
        <x:f>IF(A365="","",IF(COUNT(G365:I365)&lt;3,"Awaiting Month-End Snapshot",IF(OR(B365="",D365=""),"Awaiting Monthly Inputs","Ready to Close")))</x:f>
      </x:c>
      <x:c r="K365" s="22"/>
    </x:row>
    <x:row r="366" ht="19.5" customHeight="1">
      <x:c r="A366" s="25"/>
      <x:c r="B366" s="19"/>
      <x:c r="C366" s="19"/>
      <x:c r="D366" s="19"/>
      <x:c r="E366" s="19"/>
      <x:c r="F366" s="14" t="str">
        <x:f>IF(OR(A366="",B366="",D366=""),"",SUM(B366:C366)-N(D366)+N(E366))</x:f>
      </x:c>
      <x:c r="G366" s="14" t="str">
        <x:f>IF(OR(A366="",'02 Balance Sheet'!$B$2&lt;&gt;$A366),"",SUMIF('02 Balance Sheet'!$D:$D,"CNY",'02 Balance Sheet'!$H:$H))</x:f>
      </x:c>
      <x:c r="H366" s="14" t="str">
        <x:f>IF(OR(A366="",'02 Balance Sheet'!$B$2&lt;&gt;$A366),"",SUMIF('02 Balance Sheet'!$D:$D,"USD",'02 Balance Sheet'!$H:$H))</x:f>
      </x:c>
      <x:c r="I366" s="14" t="str">
        <x:f>IF(OR(A366="",'02 Balance Sheet'!$B$2&lt;&gt;$A366),"",SUMIF('02 Balance Sheet'!$D:$D,"HKD",'02 Balance Sheet'!$H:$H))</x:f>
      </x:c>
      <x:c r="J366" s="12" t="str">
        <x:f>IF(A366="","",IF(COUNT(G366:I366)&lt;3,"Awaiting Month-End Snapshot",IF(OR(B366="",D366=""),"Awaiting Monthly Inputs","Ready to Close")))</x:f>
      </x:c>
      <x:c r="K366" s="22"/>
    </x:row>
    <x:row r="367" ht="19.5" customHeight="1">
      <x:c r="A367" s="25"/>
      <x:c r="B367" s="19"/>
      <x:c r="C367" s="19"/>
      <x:c r="D367" s="19"/>
      <x:c r="E367" s="19"/>
      <x:c r="F367" s="14" t="str">
        <x:f>IF(OR(A367="",B367="",D367=""),"",SUM(B367:C367)-N(D367)+N(E367))</x:f>
      </x:c>
      <x:c r="G367" s="14" t="str">
        <x:f>IF(OR(A367="",'02 Balance Sheet'!$B$2&lt;&gt;$A367),"",SUMIF('02 Balance Sheet'!$D:$D,"CNY",'02 Balance Sheet'!$H:$H))</x:f>
      </x:c>
      <x:c r="H367" s="14" t="str">
        <x:f>IF(OR(A367="",'02 Balance Sheet'!$B$2&lt;&gt;$A367),"",SUMIF('02 Balance Sheet'!$D:$D,"USD",'02 Balance Sheet'!$H:$H))</x:f>
      </x:c>
      <x:c r="I367" s="14" t="str">
        <x:f>IF(OR(A367="",'02 Balance Sheet'!$B$2&lt;&gt;$A367),"",SUMIF('02 Balance Sheet'!$D:$D,"HKD",'02 Balance Sheet'!$H:$H))</x:f>
      </x:c>
      <x:c r="J367" s="12" t="str">
        <x:f>IF(A367="","",IF(COUNT(G367:I367)&lt;3,"Awaiting Month-End Snapshot",IF(OR(B367="",D367=""),"Awaiting Monthly Inputs","Ready to Close")))</x:f>
      </x:c>
      <x:c r="K367" s="22"/>
    </x:row>
    <x:row r="368" ht="19.5" customHeight="1">
      <x:c r="A368" s="25"/>
      <x:c r="B368" s="19"/>
      <x:c r="C368" s="19"/>
      <x:c r="D368" s="19"/>
      <x:c r="E368" s="19"/>
      <x:c r="F368" s="14" t="str">
        <x:f>IF(OR(A368="",B368="",D368=""),"",SUM(B368:C368)-N(D368)+N(E368))</x:f>
      </x:c>
      <x:c r="G368" s="14" t="str">
        <x:f>IF(OR(A368="",'02 Balance Sheet'!$B$2&lt;&gt;$A368),"",SUMIF('02 Balance Sheet'!$D:$D,"CNY",'02 Balance Sheet'!$H:$H))</x:f>
      </x:c>
      <x:c r="H368" s="14" t="str">
        <x:f>IF(OR(A368="",'02 Balance Sheet'!$B$2&lt;&gt;$A368),"",SUMIF('02 Balance Sheet'!$D:$D,"USD",'02 Balance Sheet'!$H:$H))</x:f>
      </x:c>
      <x:c r="I368" s="14" t="str">
        <x:f>IF(OR(A368="",'02 Balance Sheet'!$B$2&lt;&gt;$A368),"",SUMIF('02 Balance Sheet'!$D:$D,"HKD",'02 Balance Sheet'!$H:$H))</x:f>
      </x:c>
      <x:c r="J368" s="12" t="str">
        <x:f>IF(A368="","",IF(COUNT(G368:I368)&lt;3,"Awaiting Month-End Snapshot",IF(OR(B368="",D368=""),"Awaiting Monthly Inputs","Ready to Close")))</x:f>
      </x:c>
      <x:c r="K368" s="22"/>
    </x:row>
    <x:row r="369" ht="19.5" customHeight="1">
      <x:c r="A369" s="25"/>
      <x:c r="B369" s="19"/>
      <x:c r="C369" s="19"/>
      <x:c r="D369" s="19"/>
      <x:c r="E369" s="19"/>
      <x:c r="F369" s="14" t="str">
        <x:f>IF(OR(A369="",B369="",D369=""),"",SUM(B369:C369)-N(D369)+N(E369))</x:f>
      </x:c>
      <x:c r="G369" s="14" t="str">
        <x:f>IF(OR(A369="",'02 Balance Sheet'!$B$2&lt;&gt;$A369),"",SUMIF('02 Balance Sheet'!$D:$D,"CNY",'02 Balance Sheet'!$H:$H))</x:f>
      </x:c>
      <x:c r="H369" s="14" t="str">
        <x:f>IF(OR(A369="",'02 Balance Sheet'!$B$2&lt;&gt;$A369),"",SUMIF('02 Balance Sheet'!$D:$D,"USD",'02 Balance Sheet'!$H:$H))</x:f>
      </x:c>
      <x:c r="I369" s="14" t="str">
        <x:f>IF(OR(A369="",'02 Balance Sheet'!$B$2&lt;&gt;$A369),"",SUMIF('02 Balance Sheet'!$D:$D,"HKD",'02 Balance Sheet'!$H:$H))</x:f>
      </x:c>
      <x:c r="J369" s="12" t="str">
        <x:f>IF(A369="","",IF(COUNT(G369:I369)&lt;3,"Awaiting Month-End Snapshot",IF(OR(B369="",D369=""),"Awaiting Monthly Inputs","Ready to Close")))</x:f>
      </x:c>
      <x:c r="K369" s="22"/>
    </x:row>
    <x:row r="370" ht="19.5" customHeight="1">
      <x:c r="A370" s="25"/>
      <x:c r="B370" s="19"/>
      <x:c r="C370" s="19"/>
      <x:c r="D370" s="19"/>
      <x:c r="E370" s="19"/>
      <x:c r="F370" s="14" t="str">
        <x:f>IF(OR(A370="",B370="",D370=""),"",SUM(B370:C370)-N(D370)+N(E370))</x:f>
      </x:c>
      <x:c r="G370" s="14" t="str">
        <x:f>IF(OR(A370="",'02 Balance Sheet'!$B$2&lt;&gt;$A370),"",SUMIF('02 Balance Sheet'!$D:$D,"CNY",'02 Balance Sheet'!$H:$H))</x:f>
      </x:c>
      <x:c r="H370" s="14" t="str">
        <x:f>IF(OR(A370="",'02 Balance Sheet'!$B$2&lt;&gt;$A370),"",SUMIF('02 Balance Sheet'!$D:$D,"USD",'02 Balance Sheet'!$H:$H))</x:f>
      </x:c>
      <x:c r="I370" s="14" t="str">
        <x:f>IF(OR(A370="",'02 Balance Sheet'!$B$2&lt;&gt;$A370),"",SUMIF('02 Balance Sheet'!$D:$D,"HKD",'02 Balance Sheet'!$H:$H))</x:f>
      </x:c>
      <x:c r="J370" s="12" t="str">
        <x:f>IF(A370="","",IF(COUNT(G370:I370)&lt;3,"Awaiting Month-End Snapshot",IF(OR(B370="",D370=""),"Awaiting Monthly Inputs","Ready to Close")))</x:f>
      </x:c>
      <x:c r="K370" s="22"/>
    </x:row>
    <x:row r="371" ht="19.5" customHeight="1">
      <x:c r="A371" s="25"/>
      <x:c r="B371" s="19"/>
      <x:c r="C371" s="19"/>
      <x:c r="D371" s="19"/>
      <x:c r="E371" s="19"/>
      <x:c r="F371" s="14" t="str">
        <x:f>IF(OR(A371="",B371="",D371=""),"",SUM(B371:C371)-N(D371)+N(E371))</x:f>
      </x:c>
      <x:c r="G371" s="14" t="str">
        <x:f>IF(OR(A371="",'02 Balance Sheet'!$B$2&lt;&gt;$A371),"",SUMIF('02 Balance Sheet'!$D:$D,"CNY",'02 Balance Sheet'!$H:$H))</x:f>
      </x:c>
      <x:c r="H371" s="14" t="str">
        <x:f>IF(OR(A371="",'02 Balance Sheet'!$B$2&lt;&gt;$A371),"",SUMIF('02 Balance Sheet'!$D:$D,"USD",'02 Balance Sheet'!$H:$H))</x:f>
      </x:c>
      <x:c r="I371" s="14" t="str">
        <x:f>IF(OR(A371="",'02 Balance Sheet'!$B$2&lt;&gt;$A371),"",SUMIF('02 Balance Sheet'!$D:$D,"HKD",'02 Balance Sheet'!$H:$H))</x:f>
      </x:c>
      <x:c r="J371" s="12" t="str">
        <x:f>IF(A371="","",IF(COUNT(G371:I371)&lt;3,"Awaiting Month-End Snapshot",IF(OR(B371="",D371=""),"Awaiting Monthly Inputs","Ready to Close")))</x:f>
      </x:c>
      <x:c r="K371" s="22"/>
    </x:row>
    <x:row r="372" ht="19.5" customHeight="1">
      <x:c r="A372" s="25"/>
      <x:c r="B372" s="19"/>
      <x:c r="C372" s="19"/>
      <x:c r="D372" s="19"/>
      <x:c r="E372" s="19"/>
      <x:c r="F372" s="14" t="str">
        <x:f>IF(OR(A372="",B372="",D372=""),"",SUM(B372:C372)-N(D372)+N(E372))</x:f>
      </x:c>
      <x:c r="G372" s="14" t="str">
        <x:f>IF(OR(A372="",'02 Balance Sheet'!$B$2&lt;&gt;$A372),"",SUMIF('02 Balance Sheet'!$D:$D,"CNY",'02 Balance Sheet'!$H:$H))</x:f>
      </x:c>
      <x:c r="H372" s="14" t="str">
        <x:f>IF(OR(A372="",'02 Balance Sheet'!$B$2&lt;&gt;$A372),"",SUMIF('02 Balance Sheet'!$D:$D,"USD",'02 Balance Sheet'!$H:$H))</x:f>
      </x:c>
      <x:c r="I372" s="14" t="str">
        <x:f>IF(OR(A372="",'02 Balance Sheet'!$B$2&lt;&gt;$A372),"",SUMIF('02 Balance Sheet'!$D:$D,"HKD",'02 Balance Sheet'!$H:$H))</x:f>
      </x:c>
      <x:c r="J372" s="12" t="str">
        <x:f>IF(A372="","",IF(COUNT(G372:I372)&lt;3,"Awaiting Month-End Snapshot",IF(OR(B372="",D372=""),"Awaiting Monthly Inputs","Ready to Close")))</x:f>
      </x:c>
      <x:c r="K372" s="22"/>
    </x:row>
    <x:row r="373" ht="19.5" customHeight="1">
      <x:c r="A373" s="25"/>
      <x:c r="B373" s="19"/>
      <x:c r="C373" s="19"/>
      <x:c r="D373" s="19"/>
      <x:c r="E373" s="19"/>
      <x:c r="F373" s="14" t="str">
        <x:f>IF(OR(A373="",B373="",D373=""),"",SUM(B373:C373)-N(D373)+N(E373))</x:f>
      </x:c>
      <x:c r="G373" s="14" t="str">
        <x:f>IF(OR(A373="",'02 Balance Sheet'!$B$2&lt;&gt;$A373),"",SUMIF('02 Balance Sheet'!$D:$D,"CNY",'02 Balance Sheet'!$H:$H))</x:f>
      </x:c>
      <x:c r="H373" s="14" t="str">
        <x:f>IF(OR(A373="",'02 Balance Sheet'!$B$2&lt;&gt;$A373),"",SUMIF('02 Balance Sheet'!$D:$D,"USD",'02 Balance Sheet'!$H:$H))</x:f>
      </x:c>
      <x:c r="I373" s="14" t="str">
        <x:f>IF(OR(A373="",'02 Balance Sheet'!$B$2&lt;&gt;$A373),"",SUMIF('02 Balance Sheet'!$D:$D,"HKD",'02 Balance Sheet'!$H:$H))</x:f>
      </x:c>
      <x:c r="J373" s="12" t="str">
        <x:f>IF(A373="","",IF(COUNT(G373:I373)&lt;3,"Awaiting Month-End Snapshot",IF(OR(B373="",D373=""),"Awaiting Monthly Inputs","Ready to Close")))</x:f>
      </x:c>
      <x:c r="K373" s="22"/>
    </x:row>
    <x:row r="374" ht="19.5" customHeight="1">
      <x:c r="A374" s="25"/>
      <x:c r="B374" s="19"/>
      <x:c r="C374" s="19"/>
      <x:c r="D374" s="19"/>
      <x:c r="E374" s="19"/>
      <x:c r="F374" s="14" t="str">
        <x:f>IF(OR(A374="",B374="",D374=""),"",SUM(B374:C374)-N(D374)+N(E374))</x:f>
      </x:c>
      <x:c r="G374" s="14" t="str">
        <x:f>IF(OR(A374="",'02 Balance Sheet'!$B$2&lt;&gt;$A374),"",SUMIF('02 Balance Sheet'!$D:$D,"CNY",'02 Balance Sheet'!$H:$H))</x:f>
      </x:c>
      <x:c r="H374" s="14" t="str">
        <x:f>IF(OR(A374="",'02 Balance Sheet'!$B$2&lt;&gt;$A374),"",SUMIF('02 Balance Sheet'!$D:$D,"USD",'02 Balance Sheet'!$H:$H))</x:f>
      </x:c>
      <x:c r="I374" s="14" t="str">
        <x:f>IF(OR(A374="",'02 Balance Sheet'!$B$2&lt;&gt;$A374),"",SUMIF('02 Balance Sheet'!$D:$D,"HKD",'02 Balance Sheet'!$H:$H))</x:f>
      </x:c>
      <x:c r="J374" s="12" t="str">
        <x:f>IF(A374="","",IF(COUNT(G374:I374)&lt;3,"Awaiting Month-End Snapshot",IF(OR(B374="",D374=""),"Awaiting Monthly Inputs","Ready to Close")))</x:f>
      </x:c>
      <x:c r="K374" s="22"/>
    </x:row>
    <x:row r="375" ht="19.5" customHeight="1">
      <x:c r="A375" s="25"/>
      <x:c r="B375" s="19"/>
      <x:c r="C375" s="19"/>
      <x:c r="D375" s="19"/>
      <x:c r="E375" s="19"/>
      <x:c r="F375" s="14" t="str">
        <x:f>IF(OR(A375="",B375="",D375=""),"",SUM(B375:C375)-N(D375)+N(E375))</x:f>
      </x:c>
      <x:c r="G375" s="14" t="str">
        <x:f>IF(OR(A375="",'02 Balance Sheet'!$B$2&lt;&gt;$A375),"",SUMIF('02 Balance Sheet'!$D:$D,"CNY",'02 Balance Sheet'!$H:$H))</x:f>
      </x:c>
      <x:c r="H375" s="14" t="str">
        <x:f>IF(OR(A375="",'02 Balance Sheet'!$B$2&lt;&gt;$A375),"",SUMIF('02 Balance Sheet'!$D:$D,"USD",'02 Balance Sheet'!$H:$H))</x:f>
      </x:c>
      <x:c r="I375" s="14" t="str">
        <x:f>IF(OR(A375="",'02 Balance Sheet'!$B$2&lt;&gt;$A375),"",SUMIF('02 Balance Sheet'!$D:$D,"HKD",'02 Balance Sheet'!$H:$H))</x:f>
      </x:c>
      <x:c r="J375" s="12" t="str">
        <x:f>IF(A375="","",IF(COUNT(G375:I375)&lt;3,"Awaiting Month-End Snapshot",IF(OR(B375="",D375=""),"Awaiting Monthly Inputs","Ready to Close")))</x:f>
      </x:c>
      <x:c r="K375" s="22"/>
    </x:row>
    <x:row r="376" ht="19.5" customHeight="1">
      <x:c r="A376" s="25"/>
      <x:c r="B376" s="19"/>
      <x:c r="C376" s="19"/>
      <x:c r="D376" s="19"/>
      <x:c r="E376" s="19"/>
      <x:c r="F376" s="14" t="str">
        <x:f>IF(OR(A376="",B376="",D376=""),"",SUM(B376:C376)-N(D376)+N(E376))</x:f>
      </x:c>
      <x:c r="G376" s="14" t="str">
        <x:f>IF(OR(A376="",'02 Balance Sheet'!$B$2&lt;&gt;$A376),"",SUMIF('02 Balance Sheet'!$D:$D,"CNY",'02 Balance Sheet'!$H:$H))</x:f>
      </x:c>
      <x:c r="H376" s="14" t="str">
        <x:f>IF(OR(A376="",'02 Balance Sheet'!$B$2&lt;&gt;$A376),"",SUMIF('02 Balance Sheet'!$D:$D,"USD",'02 Balance Sheet'!$H:$H))</x:f>
      </x:c>
      <x:c r="I376" s="14" t="str">
        <x:f>IF(OR(A376="",'02 Balance Sheet'!$B$2&lt;&gt;$A376),"",SUMIF('02 Balance Sheet'!$D:$D,"HKD",'02 Balance Sheet'!$H:$H))</x:f>
      </x:c>
      <x:c r="J376" s="12" t="str">
        <x:f>IF(A376="","",IF(COUNT(G376:I376)&lt;3,"Awaiting Month-End Snapshot",IF(OR(B376="",D376=""),"Awaiting Monthly Inputs","Ready to Close")))</x:f>
      </x:c>
      <x:c r="K376" s="22"/>
    </x:row>
    <x:row r="377" ht="19.5" customHeight="1">
      <x:c r="A377" s="25"/>
      <x:c r="B377" s="19"/>
      <x:c r="C377" s="19"/>
      <x:c r="D377" s="19"/>
      <x:c r="E377" s="19"/>
      <x:c r="F377" s="14" t="str">
        <x:f>IF(OR(A377="",B377="",D377=""),"",SUM(B377:C377)-N(D377)+N(E377))</x:f>
      </x:c>
      <x:c r="G377" s="14" t="str">
        <x:f>IF(OR(A377="",'02 Balance Sheet'!$B$2&lt;&gt;$A377),"",SUMIF('02 Balance Sheet'!$D:$D,"CNY",'02 Balance Sheet'!$H:$H))</x:f>
      </x:c>
      <x:c r="H377" s="14" t="str">
        <x:f>IF(OR(A377="",'02 Balance Sheet'!$B$2&lt;&gt;$A377),"",SUMIF('02 Balance Sheet'!$D:$D,"USD",'02 Balance Sheet'!$H:$H))</x:f>
      </x:c>
      <x:c r="I377" s="14" t="str">
        <x:f>IF(OR(A377="",'02 Balance Sheet'!$B$2&lt;&gt;$A377),"",SUMIF('02 Balance Sheet'!$D:$D,"HKD",'02 Balance Sheet'!$H:$H))</x:f>
      </x:c>
      <x:c r="J377" s="12" t="str">
        <x:f>IF(A377="","",IF(COUNT(G377:I377)&lt;3,"Awaiting Month-End Snapshot",IF(OR(B377="",D377=""),"Awaiting Monthly Inputs","Ready to Close")))</x:f>
      </x:c>
      <x:c r="K377" s="22"/>
    </x:row>
    <x:row r="378" ht="19.5" customHeight="1">
      <x:c r="A378" s="25"/>
      <x:c r="B378" s="19"/>
      <x:c r="C378" s="19"/>
      <x:c r="D378" s="19"/>
      <x:c r="E378" s="19"/>
      <x:c r="F378" s="14" t="str">
        <x:f>IF(OR(A378="",B378="",D378=""),"",SUM(B378:C378)-N(D378)+N(E378))</x:f>
      </x:c>
      <x:c r="G378" s="14" t="str">
        <x:f>IF(OR(A378="",'02 Balance Sheet'!$B$2&lt;&gt;$A378),"",SUMIF('02 Balance Sheet'!$D:$D,"CNY",'02 Balance Sheet'!$H:$H))</x:f>
      </x:c>
      <x:c r="H378" s="14" t="str">
        <x:f>IF(OR(A378="",'02 Balance Sheet'!$B$2&lt;&gt;$A378),"",SUMIF('02 Balance Sheet'!$D:$D,"USD",'02 Balance Sheet'!$H:$H))</x:f>
      </x:c>
      <x:c r="I378" s="14" t="str">
        <x:f>IF(OR(A378="",'02 Balance Sheet'!$B$2&lt;&gt;$A378),"",SUMIF('02 Balance Sheet'!$D:$D,"HKD",'02 Balance Sheet'!$H:$H))</x:f>
      </x:c>
      <x:c r="J378" s="12" t="str">
        <x:f>IF(A378="","",IF(COUNT(G378:I378)&lt;3,"Awaiting Month-End Snapshot",IF(OR(B378="",D378=""),"Awaiting Monthly Inputs","Ready to Close")))</x:f>
      </x:c>
      <x:c r="K378" s="22"/>
    </x:row>
    <x:row r="379" ht="19.5" customHeight="1">
      <x:c r="A379" s="25"/>
      <x:c r="B379" s="19"/>
      <x:c r="C379" s="19"/>
      <x:c r="D379" s="19"/>
      <x:c r="E379" s="19"/>
      <x:c r="F379" s="14" t="str">
        <x:f>IF(OR(A379="",B379="",D379=""),"",SUM(B379:C379)-N(D379)+N(E379))</x:f>
      </x:c>
      <x:c r="G379" s="14" t="str">
        <x:f>IF(OR(A379="",'02 Balance Sheet'!$B$2&lt;&gt;$A379),"",SUMIF('02 Balance Sheet'!$D:$D,"CNY",'02 Balance Sheet'!$H:$H))</x:f>
      </x:c>
      <x:c r="H379" s="14" t="str">
        <x:f>IF(OR(A379="",'02 Balance Sheet'!$B$2&lt;&gt;$A379),"",SUMIF('02 Balance Sheet'!$D:$D,"USD",'02 Balance Sheet'!$H:$H))</x:f>
      </x:c>
      <x:c r="I379" s="14" t="str">
        <x:f>IF(OR(A379="",'02 Balance Sheet'!$B$2&lt;&gt;$A379),"",SUMIF('02 Balance Sheet'!$D:$D,"HKD",'02 Balance Sheet'!$H:$H))</x:f>
      </x:c>
      <x:c r="J379" s="12" t="str">
        <x:f>IF(A379="","",IF(COUNT(G379:I379)&lt;3,"Awaiting Month-End Snapshot",IF(OR(B379="",D379=""),"Awaiting Monthly Inputs","Ready to Close")))</x:f>
      </x:c>
      <x:c r="K379" s="22"/>
    </x:row>
    <x:row r="380" ht="19.5" customHeight="1">
      <x:c r="A380" s="25"/>
      <x:c r="B380" s="19"/>
      <x:c r="C380" s="19"/>
      <x:c r="D380" s="19"/>
      <x:c r="E380" s="19"/>
      <x:c r="F380" s="14" t="str">
        <x:f>IF(OR(A380="",B380="",D380=""),"",SUM(B380:C380)-N(D380)+N(E380))</x:f>
      </x:c>
      <x:c r="G380" s="14" t="str">
        <x:f>IF(OR(A380="",'02 Balance Sheet'!$B$2&lt;&gt;$A380),"",SUMIF('02 Balance Sheet'!$D:$D,"CNY",'02 Balance Sheet'!$H:$H))</x:f>
      </x:c>
      <x:c r="H380" s="14" t="str">
        <x:f>IF(OR(A380="",'02 Balance Sheet'!$B$2&lt;&gt;$A380),"",SUMIF('02 Balance Sheet'!$D:$D,"USD",'02 Balance Sheet'!$H:$H))</x:f>
      </x:c>
      <x:c r="I380" s="14" t="str">
        <x:f>IF(OR(A380="",'02 Balance Sheet'!$B$2&lt;&gt;$A380),"",SUMIF('02 Balance Sheet'!$D:$D,"HKD",'02 Balance Sheet'!$H:$H))</x:f>
      </x:c>
      <x:c r="J380" s="12" t="str">
        <x:f>IF(A380="","",IF(COUNT(G380:I380)&lt;3,"Awaiting Month-End Snapshot",IF(OR(B380="",D380=""),"Awaiting Monthly Inputs","Ready to Close")))</x:f>
      </x:c>
      <x:c r="K380" s="22"/>
    </x:row>
    <x:row r="381" ht="19.5" customHeight="1">
      <x:c r="A381" s="25"/>
      <x:c r="B381" s="19"/>
      <x:c r="C381" s="19"/>
      <x:c r="D381" s="19"/>
      <x:c r="E381" s="19"/>
      <x:c r="F381" s="14" t="str">
        <x:f>IF(OR(A381="",B381="",D381=""),"",SUM(B381:C381)-N(D381)+N(E381))</x:f>
      </x:c>
      <x:c r="G381" s="14" t="str">
        <x:f>IF(OR(A381="",'02 Balance Sheet'!$B$2&lt;&gt;$A381),"",SUMIF('02 Balance Sheet'!$D:$D,"CNY",'02 Balance Sheet'!$H:$H))</x:f>
      </x:c>
      <x:c r="H381" s="14" t="str">
        <x:f>IF(OR(A381="",'02 Balance Sheet'!$B$2&lt;&gt;$A381),"",SUMIF('02 Balance Sheet'!$D:$D,"USD",'02 Balance Sheet'!$H:$H))</x:f>
      </x:c>
      <x:c r="I381" s="14" t="str">
        <x:f>IF(OR(A381="",'02 Balance Sheet'!$B$2&lt;&gt;$A381),"",SUMIF('02 Balance Sheet'!$D:$D,"HKD",'02 Balance Sheet'!$H:$H))</x:f>
      </x:c>
      <x:c r="J381" s="12" t="str">
        <x:f>IF(A381="","",IF(COUNT(G381:I381)&lt;3,"Awaiting Month-End Snapshot",IF(OR(B381="",D381=""),"Awaiting Monthly Inputs","Ready to Close")))</x:f>
      </x:c>
      <x:c r="K381" s="22"/>
    </x:row>
    <x:row r="382" ht="19.5" customHeight="1">
      <x:c r="A382" s="25"/>
      <x:c r="B382" s="19"/>
      <x:c r="C382" s="19"/>
      <x:c r="D382" s="19"/>
      <x:c r="E382" s="19"/>
      <x:c r="F382" s="14" t="str">
        <x:f>IF(OR(A382="",B382="",D382=""),"",SUM(B382:C382)-N(D382)+N(E382))</x:f>
      </x:c>
      <x:c r="G382" s="14" t="str">
        <x:f>IF(OR(A382="",'02 Balance Sheet'!$B$2&lt;&gt;$A382),"",SUMIF('02 Balance Sheet'!$D:$D,"CNY",'02 Balance Sheet'!$H:$H))</x:f>
      </x:c>
      <x:c r="H382" s="14" t="str">
        <x:f>IF(OR(A382="",'02 Balance Sheet'!$B$2&lt;&gt;$A382),"",SUMIF('02 Balance Sheet'!$D:$D,"USD",'02 Balance Sheet'!$H:$H))</x:f>
      </x:c>
      <x:c r="I382" s="14" t="str">
        <x:f>IF(OR(A382="",'02 Balance Sheet'!$B$2&lt;&gt;$A382),"",SUMIF('02 Balance Sheet'!$D:$D,"HKD",'02 Balance Sheet'!$H:$H))</x:f>
      </x:c>
      <x:c r="J382" s="12" t="str">
        <x:f>IF(A382="","",IF(COUNT(G382:I382)&lt;3,"Awaiting Month-End Snapshot",IF(OR(B382="",D382=""),"Awaiting Monthly Inputs","Ready to Close")))</x:f>
      </x:c>
      <x:c r="K382" s="22"/>
    </x:row>
    <x:row r="383" ht="19.5" customHeight="1">
      <x:c r="A383" s="25"/>
      <x:c r="B383" s="19"/>
      <x:c r="C383" s="19"/>
      <x:c r="D383" s="19"/>
      <x:c r="E383" s="19"/>
      <x:c r="F383" s="14" t="str">
        <x:f>IF(OR(A383="",B383="",D383=""),"",SUM(B383:C383)-N(D383)+N(E383))</x:f>
      </x:c>
      <x:c r="G383" s="14" t="str">
        <x:f>IF(OR(A383="",'02 Balance Sheet'!$B$2&lt;&gt;$A383),"",SUMIF('02 Balance Sheet'!$D:$D,"CNY",'02 Balance Sheet'!$H:$H))</x:f>
      </x:c>
      <x:c r="H383" s="14" t="str">
        <x:f>IF(OR(A383="",'02 Balance Sheet'!$B$2&lt;&gt;$A383),"",SUMIF('02 Balance Sheet'!$D:$D,"USD",'02 Balance Sheet'!$H:$H))</x:f>
      </x:c>
      <x:c r="I383" s="14" t="str">
        <x:f>IF(OR(A383="",'02 Balance Sheet'!$B$2&lt;&gt;$A383),"",SUMIF('02 Balance Sheet'!$D:$D,"HKD",'02 Balance Sheet'!$H:$H))</x:f>
      </x:c>
      <x:c r="J383" s="12" t="str">
        <x:f>IF(A383="","",IF(COUNT(G383:I383)&lt;3,"Awaiting Month-End Snapshot",IF(OR(B383="",D383=""),"Awaiting Monthly Inputs","Ready to Close")))</x:f>
      </x:c>
      <x:c r="K383" s="22"/>
    </x:row>
    <x:row r="384" ht="19.5" customHeight="1">
      <x:c r="A384" s="25"/>
      <x:c r="B384" s="19"/>
      <x:c r="C384" s="19"/>
      <x:c r="D384" s="19"/>
      <x:c r="E384" s="19"/>
      <x:c r="F384" s="14" t="str">
        <x:f>IF(OR(A384="",B384="",D384=""),"",SUM(B384:C384)-N(D384)+N(E384))</x:f>
      </x:c>
      <x:c r="G384" s="14" t="str">
        <x:f>IF(OR(A384="",'02 Balance Sheet'!$B$2&lt;&gt;$A384),"",SUMIF('02 Balance Sheet'!$D:$D,"CNY",'02 Balance Sheet'!$H:$H))</x:f>
      </x:c>
      <x:c r="H384" s="14" t="str">
        <x:f>IF(OR(A384="",'02 Balance Sheet'!$B$2&lt;&gt;$A384),"",SUMIF('02 Balance Sheet'!$D:$D,"USD",'02 Balance Sheet'!$H:$H))</x:f>
      </x:c>
      <x:c r="I384" s="14" t="str">
        <x:f>IF(OR(A384="",'02 Balance Sheet'!$B$2&lt;&gt;$A384),"",SUMIF('02 Balance Sheet'!$D:$D,"HKD",'02 Balance Sheet'!$H:$H))</x:f>
      </x:c>
      <x:c r="J384" s="12" t="str">
        <x:f>IF(A384="","",IF(COUNT(G384:I384)&lt;3,"Awaiting Month-End Snapshot",IF(OR(B384="",D384=""),"Awaiting Monthly Inputs","Ready to Close")))</x:f>
      </x:c>
      <x:c r="K384" s="22"/>
    </x:row>
    <x:row r="385" ht="19.5" customHeight="1">
      <x:c r="A385" s="25"/>
      <x:c r="B385" s="19"/>
      <x:c r="C385" s="19"/>
      <x:c r="D385" s="19"/>
      <x:c r="E385" s="19"/>
      <x:c r="F385" s="14" t="str">
        <x:f>IF(OR(A385="",B385="",D385=""),"",SUM(B385:C385)-N(D385)+N(E385))</x:f>
      </x:c>
      <x:c r="G385" s="14" t="str">
        <x:f>IF(OR(A385="",'02 Balance Sheet'!$B$2&lt;&gt;$A385),"",SUMIF('02 Balance Sheet'!$D:$D,"CNY",'02 Balance Sheet'!$H:$H))</x:f>
      </x:c>
      <x:c r="H385" s="14" t="str">
        <x:f>IF(OR(A385="",'02 Balance Sheet'!$B$2&lt;&gt;$A385),"",SUMIF('02 Balance Sheet'!$D:$D,"USD",'02 Balance Sheet'!$H:$H))</x:f>
      </x:c>
      <x:c r="I385" s="14" t="str">
        <x:f>IF(OR(A385="",'02 Balance Sheet'!$B$2&lt;&gt;$A385),"",SUMIF('02 Balance Sheet'!$D:$D,"HKD",'02 Balance Sheet'!$H:$H))</x:f>
      </x:c>
      <x:c r="J385" s="12" t="str">
        <x:f>IF(A385="","",IF(COUNT(G385:I385)&lt;3,"Awaiting Month-End Snapshot",IF(OR(B385="",D385=""),"Awaiting Monthly Inputs","Ready to Close")))</x:f>
      </x:c>
      <x:c r="K385" s="22"/>
    </x:row>
    <x:row r="386" ht="19.5" customHeight="1">
      <x:c r="A386" s="25"/>
      <x:c r="B386" s="19"/>
      <x:c r="C386" s="19"/>
      <x:c r="D386" s="19"/>
      <x:c r="E386" s="19"/>
      <x:c r="F386" s="14" t="str">
        <x:f>IF(OR(A386="",B386="",D386=""),"",SUM(B386:C386)-N(D386)+N(E386))</x:f>
      </x:c>
      <x:c r="G386" s="14" t="str">
        <x:f>IF(OR(A386="",'02 Balance Sheet'!$B$2&lt;&gt;$A386),"",SUMIF('02 Balance Sheet'!$D:$D,"CNY",'02 Balance Sheet'!$H:$H))</x:f>
      </x:c>
      <x:c r="H386" s="14" t="str">
        <x:f>IF(OR(A386="",'02 Balance Sheet'!$B$2&lt;&gt;$A386),"",SUMIF('02 Balance Sheet'!$D:$D,"USD",'02 Balance Sheet'!$H:$H))</x:f>
      </x:c>
      <x:c r="I386" s="14" t="str">
        <x:f>IF(OR(A386="",'02 Balance Sheet'!$B$2&lt;&gt;$A386),"",SUMIF('02 Balance Sheet'!$D:$D,"HKD",'02 Balance Sheet'!$H:$H))</x:f>
      </x:c>
      <x:c r="J386" s="12" t="str">
        <x:f>IF(A386="","",IF(COUNT(G386:I386)&lt;3,"Awaiting Month-End Snapshot",IF(OR(B386="",D386=""),"Awaiting Monthly Inputs","Ready to Close")))</x:f>
      </x:c>
      <x:c r="K386" s="22"/>
    </x:row>
    <x:row r="387" ht="19.5" customHeight="1">
      <x:c r="A387" s="25"/>
      <x:c r="B387" s="19"/>
      <x:c r="C387" s="19"/>
      <x:c r="D387" s="19"/>
      <x:c r="E387" s="19"/>
      <x:c r="F387" s="14" t="str">
        <x:f>IF(OR(A387="",B387="",D387=""),"",SUM(B387:C387)-N(D387)+N(E387))</x:f>
      </x:c>
      <x:c r="G387" s="14" t="str">
        <x:f>IF(OR(A387="",'02 Balance Sheet'!$B$2&lt;&gt;$A387),"",SUMIF('02 Balance Sheet'!$D:$D,"CNY",'02 Balance Sheet'!$H:$H))</x:f>
      </x:c>
      <x:c r="H387" s="14" t="str">
        <x:f>IF(OR(A387="",'02 Balance Sheet'!$B$2&lt;&gt;$A387),"",SUMIF('02 Balance Sheet'!$D:$D,"USD",'02 Balance Sheet'!$H:$H))</x:f>
      </x:c>
      <x:c r="I387" s="14" t="str">
        <x:f>IF(OR(A387="",'02 Balance Sheet'!$B$2&lt;&gt;$A387),"",SUMIF('02 Balance Sheet'!$D:$D,"HKD",'02 Balance Sheet'!$H:$H))</x:f>
      </x:c>
      <x:c r="J387" s="12" t="str">
        <x:f>IF(A387="","",IF(COUNT(G387:I387)&lt;3,"Awaiting Month-End Snapshot",IF(OR(B387="",D387=""),"Awaiting Monthly Inputs","Ready to Close")))</x:f>
      </x:c>
      <x:c r="K387" s="22"/>
    </x:row>
    <x:row r="388" ht="19.5" customHeight="1">
      <x:c r="A388" s="25"/>
      <x:c r="B388" s="19"/>
      <x:c r="C388" s="19"/>
      <x:c r="D388" s="19"/>
      <x:c r="E388" s="19"/>
      <x:c r="F388" s="14" t="str">
        <x:f>IF(OR(A388="",B388="",D388=""),"",SUM(B388:C388)-N(D388)+N(E388))</x:f>
      </x:c>
      <x:c r="G388" s="14" t="str">
        <x:f>IF(OR(A388="",'02 Balance Sheet'!$B$2&lt;&gt;$A388),"",SUMIF('02 Balance Sheet'!$D:$D,"CNY",'02 Balance Sheet'!$H:$H))</x:f>
      </x:c>
      <x:c r="H388" s="14" t="str">
        <x:f>IF(OR(A388="",'02 Balance Sheet'!$B$2&lt;&gt;$A388),"",SUMIF('02 Balance Sheet'!$D:$D,"USD",'02 Balance Sheet'!$H:$H))</x:f>
      </x:c>
      <x:c r="I388" s="14" t="str">
        <x:f>IF(OR(A388="",'02 Balance Sheet'!$B$2&lt;&gt;$A388),"",SUMIF('02 Balance Sheet'!$D:$D,"HKD",'02 Balance Sheet'!$H:$H))</x:f>
      </x:c>
      <x:c r="J388" s="12" t="str">
        <x:f>IF(A388="","",IF(COUNT(G388:I388)&lt;3,"Awaiting Month-End Snapshot",IF(OR(B388="",D388=""),"Awaiting Monthly Inputs","Ready to Close")))</x:f>
      </x:c>
      <x:c r="K388" s="22"/>
    </x:row>
    <x:row r="389" ht="19.5" customHeight="1">
      <x:c r="A389" s="25"/>
      <x:c r="B389" s="19"/>
      <x:c r="C389" s="19"/>
      <x:c r="D389" s="19"/>
      <x:c r="E389" s="19"/>
      <x:c r="F389" s="14" t="str">
        <x:f>IF(OR(A389="",B389="",D389=""),"",SUM(B389:C389)-N(D389)+N(E389))</x:f>
      </x:c>
      <x:c r="G389" s="14" t="str">
        <x:f>IF(OR(A389="",'02 Balance Sheet'!$B$2&lt;&gt;$A389),"",SUMIF('02 Balance Sheet'!$D:$D,"CNY",'02 Balance Sheet'!$H:$H))</x:f>
      </x:c>
      <x:c r="H389" s="14" t="str">
        <x:f>IF(OR(A389="",'02 Balance Sheet'!$B$2&lt;&gt;$A389),"",SUMIF('02 Balance Sheet'!$D:$D,"USD",'02 Balance Sheet'!$H:$H))</x:f>
      </x:c>
      <x:c r="I389" s="14" t="str">
        <x:f>IF(OR(A389="",'02 Balance Sheet'!$B$2&lt;&gt;$A389),"",SUMIF('02 Balance Sheet'!$D:$D,"HKD",'02 Balance Sheet'!$H:$H))</x:f>
      </x:c>
      <x:c r="J389" s="12" t="str">
        <x:f>IF(A389="","",IF(COUNT(G389:I389)&lt;3,"Awaiting Month-End Snapshot",IF(OR(B389="",D389=""),"Awaiting Monthly Inputs","Ready to Close")))</x:f>
      </x:c>
      <x:c r="K389" s="22"/>
    </x:row>
    <x:row r="390" ht="19.5" customHeight="1">
      <x:c r="A390" s="25"/>
      <x:c r="B390" s="19"/>
      <x:c r="C390" s="19"/>
      <x:c r="D390" s="19"/>
      <x:c r="E390" s="19"/>
      <x:c r="F390" s="14" t="str">
        <x:f>IF(OR(A390="",B390="",D390=""),"",SUM(B390:C390)-N(D390)+N(E390))</x:f>
      </x:c>
      <x:c r="G390" s="14" t="str">
        <x:f>IF(OR(A390="",'02 Balance Sheet'!$B$2&lt;&gt;$A390),"",SUMIF('02 Balance Sheet'!$D:$D,"CNY",'02 Balance Sheet'!$H:$H))</x:f>
      </x:c>
      <x:c r="H390" s="14" t="str">
        <x:f>IF(OR(A390="",'02 Balance Sheet'!$B$2&lt;&gt;$A390),"",SUMIF('02 Balance Sheet'!$D:$D,"USD",'02 Balance Sheet'!$H:$H))</x:f>
      </x:c>
      <x:c r="I390" s="14" t="str">
        <x:f>IF(OR(A390="",'02 Balance Sheet'!$B$2&lt;&gt;$A390),"",SUMIF('02 Balance Sheet'!$D:$D,"HKD",'02 Balance Sheet'!$H:$H))</x:f>
      </x:c>
      <x:c r="J390" s="12" t="str">
        <x:f>IF(A390="","",IF(COUNT(G390:I390)&lt;3,"Awaiting Month-End Snapshot",IF(OR(B390="",D390=""),"Awaiting Monthly Inputs","Ready to Close")))</x:f>
      </x:c>
      <x:c r="K390" s="22"/>
    </x:row>
    <x:row r="391" ht="19.5" customHeight="1">
      <x:c r="A391" s="25"/>
      <x:c r="B391" s="19"/>
      <x:c r="C391" s="19"/>
      <x:c r="D391" s="19"/>
      <x:c r="E391" s="19"/>
      <x:c r="F391" s="14" t="str">
        <x:f>IF(OR(A391="",B391="",D391=""),"",SUM(B391:C391)-N(D391)+N(E391))</x:f>
      </x:c>
      <x:c r="G391" s="14" t="str">
        <x:f>IF(OR(A391="",'02 Balance Sheet'!$B$2&lt;&gt;$A391),"",SUMIF('02 Balance Sheet'!$D:$D,"CNY",'02 Balance Sheet'!$H:$H))</x:f>
      </x:c>
      <x:c r="H391" s="14" t="str">
        <x:f>IF(OR(A391="",'02 Balance Sheet'!$B$2&lt;&gt;$A391),"",SUMIF('02 Balance Sheet'!$D:$D,"USD",'02 Balance Sheet'!$H:$H))</x:f>
      </x:c>
      <x:c r="I391" s="14" t="str">
        <x:f>IF(OR(A391="",'02 Balance Sheet'!$B$2&lt;&gt;$A391),"",SUMIF('02 Balance Sheet'!$D:$D,"HKD",'02 Balance Sheet'!$H:$H))</x:f>
      </x:c>
      <x:c r="J391" s="12" t="str">
        <x:f>IF(A391="","",IF(COUNT(G391:I391)&lt;3,"Awaiting Month-End Snapshot",IF(OR(B391="",D391=""),"Awaiting Monthly Inputs","Ready to Close")))</x:f>
      </x:c>
      <x:c r="K391" s="22"/>
    </x:row>
    <x:row r="392" ht="19.5" customHeight="1">
      <x:c r="A392" s="25"/>
      <x:c r="B392" s="19"/>
      <x:c r="C392" s="19"/>
      <x:c r="D392" s="19"/>
      <x:c r="E392" s="19"/>
      <x:c r="F392" s="14" t="str">
        <x:f>IF(OR(A392="",B392="",D392=""),"",SUM(B392:C392)-N(D392)+N(E392))</x:f>
      </x:c>
      <x:c r="G392" s="14" t="str">
        <x:f>IF(OR(A392="",'02 Balance Sheet'!$B$2&lt;&gt;$A392),"",SUMIF('02 Balance Sheet'!$D:$D,"CNY",'02 Balance Sheet'!$H:$H))</x:f>
      </x:c>
      <x:c r="H392" s="14" t="str">
        <x:f>IF(OR(A392="",'02 Balance Sheet'!$B$2&lt;&gt;$A392),"",SUMIF('02 Balance Sheet'!$D:$D,"USD",'02 Balance Sheet'!$H:$H))</x:f>
      </x:c>
      <x:c r="I392" s="14" t="str">
        <x:f>IF(OR(A392="",'02 Balance Sheet'!$B$2&lt;&gt;$A392),"",SUMIF('02 Balance Sheet'!$D:$D,"HKD",'02 Balance Sheet'!$H:$H))</x:f>
      </x:c>
      <x:c r="J392" s="12" t="str">
        <x:f>IF(A392="","",IF(COUNT(G392:I392)&lt;3,"Awaiting Month-End Snapshot",IF(OR(B392="",D392=""),"Awaiting Monthly Inputs","Ready to Close")))</x:f>
      </x:c>
      <x:c r="K392" s="22"/>
    </x:row>
    <x:row r="393" ht="19.5" customHeight="1">
      <x:c r="A393" s="25"/>
      <x:c r="B393" s="19"/>
      <x:c r="C393" s="19"/>
      <x:c r="D393" s="19"/>
      <x:c r="E393" s="19"/>
      <x:c r="F393" s="14" t="str">
        <x:f>IF(OR(A393="",B393="",D393=""),"",SUM(B393:C393)-N(D393)+N(E393))</x:f>
      </x:c>
      <x:c r="G393" s="14" t="str">
        <x:f>IF(OR(A393="",'02 Balance Sheet'!$B$2&lt;&gt;$A393),"",SUMIF('02 Balance Sheet'!$D:$D,"CNY",'02 Balance Sheet'!$H:$H))</x:f>
      </x:c>
      <x:c r="H393" s="14" t="str">
        <x:f>IF(OR(A393="",'02 Balance Sheet'!$B$2&lt;&gt;$A393),"",SUMIF('02 Balance Sheet'!$D:$D,"USD",'02 Balance Sheet'!$H:$H))</x:f>
      </x:c>
      <x:c r="I393" s="14" t="str">
        <x:f>IF(OR(A393="",'02 Balance Sheet'!$B$2&lt;&gt;$A393),"",SUMIF('02 Balance Sheet'!$D:$D,"HKD",'02 Balance Sheet'!$H:$H))</x:f>
      </x:c>
      <x:c r="J393" s="12" t="str">
        <x:f>IF(A393="","",IF(COUNT(G393:I393)&lt;3,"Awaiting Month-End Snapshot",IF(OR(B393="",D393=""),"Awaiting Monthly Inputs","Ready to Close")))</x:f>
      </x:c>
      <x:c r="K393" s="22"/>
    </x:row>
    <x:row r="394" ht="19.5" customHeight="1">
      <x:c r="A394" s="25"/>
      <x:c r="B394" s="19"/>
      <x:c r="C394" s="19"/>
      <x:c r="D394" s="19"/>
      <x:c r="E394" s="19"/>
      <x:c r="F394" s="14" t="str">
        <x:f>IF(OR(A394="",B394="",D394=""),"",SUM(B394:C394)-N(D394)+N(E394))</x:f>
      </x:c>
      <x:c r="G394" s="14" t="str">
        <x:f>IF(OR(A394="",'02 Balance Sheet'!$B$2&lt;&gt;$A394),"",SUMIF('02 Balance Sheet'!$D:$D,"CNY",'02 Balance Sheet'!$H:$H))</x:f>
      </x:c>
      <x:c r="H394" s="14" t="str">
        <x:f>IF(OR(A394="",'02 Balance Sheet'!$B$2&lt;&gt;$A394),"",SUMIF('02 Balance Sheet'!$D:$D,"USD",'02 Balance Sheet'!$H:$H))</x:f>
      </x:c>
      <x:c r="I394" s="14" t="str">
        <x:f>IF(OR(A394="",'02 Balance Sheet'!$B$2&lt;&gt;$A394),"",SUMIF('02 Balance Sheet'!$D:$D,"HKD",'02 Balance Sheet'!$H:$H))</x:f>
      </x:c>
      <x:c r="J394" s="12" t="str">
        <x:f>IF(A394="","",IF(COUNT(G394:I394)&lt;3,"Awaiting Month-End Snapshot",IF(OR(B394="",D394=""),"Awaiting Monthly Inputs","Ready to Close")))</x:f>
      </x:c>
      <x:c r="K394" s="22"/>
    </x:row>
    <x:row r="395" ht="19.5" customHeight="1">
      <x:c r="A395" s="25"/>
      <x:c r="B395" s="19"/>
      <x:c r="C395" s="19"/>
      <x:c r="D395" s="19"/>
      <x:c r="E395" s="19"/>
      <x:c r="F395" s="14" t="str">
        <x:f>IF(OR(A395="",B395="",D395=""),"",SUM(B395:C395)-N(D395)+N(E395))</x:f>
      </x:c>
      <x:c r="G395" s="14" t="str">
        <x:f>IF(OR(A395="",'02 Balance Sheet'!$B$2&lt;&gt;$A395),"",SUMIF('02 Balance Sheet'!$D:$D,"CNY",'02 Balance Sheet'!$H:$H))</x:f>
      </x:c>
      <x:c r="H395" s="14" t="str">
        <x:f>IF(OR(A395="",'02 Balance Sheet'!$B$2&lt;&gt;$A395),"",SUMIF('02 Balance Sheet'!$D:$D,"USD",'02 Balance Sheet'!$H:$H))</x:f>
      </x:c>
      <x:c r="I395" s="14" t="str">
        <x:f>IF(OR(A395="",'02 Balance Sheet'!$B$2&lt;&gt;$A395),"",SUMIF('02 Balance Sheet'!$D:$D,"HKD",'02 Balance Sheet'!$H:$H))</x:f>
      </x:c>
      <x:c r="J395" s="12" t="str">
        <x:f>IF(A395="","",IF(COUNT(G395:I395)&lt;3,"Awaiting Month-End Snapshot",IF(OR(B395="",D395=""),"Awaiting Monthly Inputs","Ready to Close")))</x:f>
      </x:c>
      <x:c r="K395" s="22"/>
    </x:row>
    <x:row r="396" ht="19.5" customHeight="1">
      <x:c r="A396" s="25"/>
      <x:c r="B396" s="19"/>
      <x:c r="C396" s="19"/>
      <x:c r="D396" s="19"/>
      <x:c r="E396" s="19"/>
      <x:c r="F396" s="14" t="str">
        <x:f>IF(OR(A396="",B396="",D396=""),"",SUM(B396:C396)-N(D396)+N(E396))</x:f>
      </x:c>
      <x:c r="G396" s="14" t="str">
        <x:f>IF(OR(A396="",'02 Balance Sheet'!$B$2&lt;&gt;$A396),"",SUMIF('02 Balance Sheet'!$D:$D,"CNY",'02 Balance Sheet'!$H:$H))</x:f>
      </x:c>
      <x:c r="H396" s="14" t="str">
        <x:f>IF(OR(A396="",'02 Balance Sheet'!$B$2&lt;&gt;$A396),"",SUMIF('02 Balance Sheet'!$D:$D,"USD",'02 Balance Sheet'!$H:$H))</x:f>
      </x:c>
      <x:c r="I396" s="14" t="str">
        <x:f>IF(OR(A396="",'02 Balance Sheet'!$B$2&lt;&gt;$A396),"",SUMIF('02 Balance Sheet'!$D:$D,"HKD",'02 Balance Sheet'!$H:$H))</x:f>
      </x:c>
      <x:c r="J396" s="12" t="str">
        <x:f>IF(A396="","",IF(COUNT(G396:I396)&lt;3,"Awaiting Month-End Snapshot",IF(OR(B396="",D396=""),"Awaiting Monthly Inputs","Ready to Close")))</x:f>
      </x:c>
      <x:c r="K396" s="22"/>
    </x:row>
    <x:row r="397" ht="19.5" customHeight="1">
      <x:c r="A397" s="25"/>
      <x:c r="B397" s="19"/>
      <x:c r="C397" s="19"/>
      <x:c r="D397" s="19"/>
      <x:c r="E397" s="19"/>
      <x:c r="F397" s="14" t="str">
        <x:f>IF(OR(A397="",B397="",D397=""),"",SUM(B397:C397)-N(D397)+N(E397))</x:f>
      </x:c>
      <x:c r="G397" s="14" t="str">
        <x:f>IF(OR(A397="",'02 Balance Sheet'!$B$2&lt;&gt;$A397),"",SUMIF('02 Balance Sheet'!$D:$D,"CNY",'02 Balance Sheet'!$H:$H))</x:f>
      </x:c>
      <x:c r="H397" s="14" t="str">
        <x:f>IF(OR(A397="",'02 Balance Sheet'!$B$2&lt;&gt;$A397),"",SUMIF('02 Balance Sheet'!$D:$D,"USD",'02 Balance Sheet'!$H:$H))</x:f>
      </x:c>
      <x:c r="I397" s="14" t="str">
        <x:f>IF(OR(A397="",'02 Balance Sheet'!$B$2&lt;&gt;$A397),"",SUMIF('02 Balance Sheet'!$D:$D,"HKD",'02 Balance Sheet'!$H:$H))</x:f>
      </x:c>
      <x:c r="J397" s="12" t="str">
        <x:f>IF(A397="","",IF(COUNT(G397:I397)&lt;3,"Awaiting Month-End Snapshot",IF(OR(B397="",D397=""),"Awaiting Monthly Inputs","Ready to Close")))</x:f>
      </x:c>
      <x:c r="K397" s="22"/>
    </x:row>
    <x:row r="398" ht="19.5" customHeight="1">
      <x:c r="A398" s="25"/>
      <x:c r="B398" s="19"/>
      <x:c r="C398" s="19"/>
      <x:c r="D398" s="19"/>
      <x:c r="E398" s="19"/>
      <x:c r="F398" s="14" t="str">
        <x:f>IF(OR(A398="",B398="",D398=""),"",SUM(B398:C398)-N(D398)+N(E398))</x:f>
      </x:c>
      <x:c r="G398" s="14" t="str">
        <x:f>IF(OR(A398="",'02 Balance Sheet'!$B$2&lt;&gt;$A398),"",SUMIF('02 Balance Sheet'!$D:$D,"CNY",'02 Balance Sheet'!$H:$H))</x:f>
      </x:c>
      <x:c r="H398" s="14" t="str">
        <x:f>IF(OR(A398="",'02 Balance Sheet'!$B$2&lt;&gt;$A398),"",SUMIF('02 Balance Sheet'!$D:$D,"USD",'02 Balance Sheet'!$H:$H))</x:f>
      </x:c>
      <x:c r="I398" s="14" t="str">
        <x:f>IF(OR(A398="",'02 Balance Sheet'!$B$2&lt;&gt;$A398),"",SUMIF('02 Balance Sheet'!$D:$D,"HKD",'02 Balance Sheet'!$H:$H))</x:f>
      </x:c>
      <x:c r="J398" s="12" t="str">
        <x:f>IF(A398="","",IF(COUNT(G398:I398)&lt;3,"Awaiting Month-End Snapshot",IF(OR(B398="",D398=""),"Awaiting Monthly Inputs","Ready to Close")))</x:f>
      </x:c>
      <x:c r="K398" s="22"/>
    </x:row>
    <x:row r="399" ht="19.5" customHeight="1">
      <x:c r="A399" s="25"/>
      <x:c r="B399" s="19"/>
      <x:c r="C399" s="19"/>
      <x:c r="D399" s="19"/>
      <x:c r="E399" s="19"/>
      <x:c r="F399" s="14" t="str">
        <x:f>IF(OR(A399="",B399="",D399=""),"",SUM(B399:C399)-N(D399)+N(E399))</x:f>
      </x:c>
      <x:c r="G399" s="14" t="str">
        <x:f>IF(OR(A399="",'02 Balance Sheet'!$B$2&lt;&gt;$A399),"",SUMIF('02 Balance Sheet'!$D:$D,"CNY",'02 Balance Sheet'!$H:$H))</x:f>
      </x:c>
      <x:c r="H399" s="14" t="str">
        <x:f>IF(OR(A399="",'02 Balance Sheet'!$B$2&lt;&gt;$A399),"",SUMIF('02 Balance Sheet'!$D:$D,"USD",'02 Balance Sheet'!$H:$H))</x:f>
      </x:c>
      <x:c r="I399" s="14" t="str">
        <x:f>IF(OR(A399="",'02 Balance Sheet'!$B$2&lt;&gt;$A399),"",SUMIF('02 Balance Sheet'!$D:$D,"HKD",'02 Balance Sheet'!$H:$H))</x:f>
      </x:c>
      <x:c r="J399" s="12" t="str">
        <x:f>IF(A399="","",IF(COUNT(G399:I399)&lt;3,"Awaiting Month-End Snapshot",IF(OR(B399="",D399=""),"Awaiting Monthly Inputs","Ready to Close")))</x:f>
      </x:c>
      <x:c r="K399" s="22"/>
    </x:row>
    <x:row r="400" ht="19.5" customHeight="1">
      <x:c r="A400" s="25"/>
      <x:c r="B400" s="19"/>
      <x:c r="C400" s="19"/>
      <x:c r="D400" s="19"/>
      <x:c r="E400" s="19"/>
      <x:c r="F400" s="14" t="str">
        <x:f>IF(OR(A400="",B400="",D400=""),"",SUM(B400:C400)-N(D400)+N(E400))</x:f>
      </x:c>
      <x:c r="G400" s="14" t="str">
        <x:f>IF(OR(A400="",'02 Balance Sheet'!$B$2&lt;&gt;$A400),"",SUMIF('02 Balance Sheet'!$D:$D,"CNY",'02 Balance Sheet'!$H:$H))</x:f>
      </x:c>
      <x:c r="H400" s="14" t="str">
        <x:f>IF(OR(A400="",'02 Balance Sheet'!$B$2&lt;&gt;$A400),"",SUMIF('02 Balance Sheet'!$D:$D,"USD",'02 Balance Sheet'!$H:$H))</x:f>
      </x:c>
      <x:c r="I400" s="14" t="str">
        <x:f>IF(OR(A400="",'02 Balance Sheet'!$B$2&lt;&gt;$A400),"",SUMIF('02 Balance Sheet'!$D:$D,"HKD",'02 Balance Sheet'!$H:$H))</x:f>
      </x:c>
      <x:c r="J400" s="12" t="str">
        <x:f>IF(A400="","",IF(COUNT(G400:I400)&lt;3,"Awaiting Month-End Snapshot",IF(OR(B400="",D400=""),"Awaiting Monthly Inputs","Ready to Close")))</x:f>
      </x:c>
      <x:c r="K400" s="22"/>
    </x:row>
    <x:row r="401" ht="19.5" customHeight="1">
      <x:c r="A401" s="25"/>
      <x:c r="B401" s="19"/>
      <x:c r="C401" s="19"/>
      <x:c r="D401" s="19"/>
      <x:c r="E401" s="19"/>
      <x:c r="F401" s="14" t="str">
        <x:f>IF(OR(A401="",B401="",D401=""),"",SUM(B401:C401)-N(D401)+N(E401))</x:f>
      </x:c>
      <x:c r="G401" s="14" t="str">
        <x:f>IF(OR(A401="",'02 Balance Sheet'!$B$2&lt;&gt;$A401),"",SUMIF('02 Balance Sheet'!$D:$D,"CNY",'02 Balance Sheet'!$H:$H))</x:f>
      </x:c>
      <x:c r="H401" s="14" t="str">
        <x:f>IF(OR(A401="",'02 Balance Sheet'!$B$2&lt;&gt;$A401),"",SUMIF('02 Balance Sheet'!$D:$D,"USD",'02 Balance Sheet'!$H:$H))</x:f>
      </x:c>
      <x:c r="I401" s="14" t="str">
        <x:f>IF(OR(A401="",'02 Balance Sheet'!$B$2&lt;&gt;$A401),"",SUMIF('02 Balance Sheet'!$D:$D,"HKD",'02 Balance Sheet'!$H:$H))</x:f>
      </x:c>
      <x:c r="J401" s="12" t="str">
        <x:f>IF(A401="","",IF(COUNT(G401:I401)&lt;3,"Awaiting Month-End Snapshot",IF(OR(B401="",D401=""),"Awaiting Monthly Inputs","Ready to Close")))</x:f>
      </x:c>
      <x:c r="K401" s="22"/>
    </x:row>
    <x:row r="402" ht="19.5" customHeight="1">
      <x:c r="A402" s="25"/>
      <x:c r="B402" s="19"/>
      <x:c r="C402" s="19"/>
      <x:c r="D402" s="19"/>
      <x:c r="E402" s="19"/>
      <x:c r="F402" s="14" t="str">
        <x:f>IF(OR(A402="",B402="",D402=""),"",SUM(B402:C402)-N(D402)+N(E402))</x:f>
      </x:c>
      <x:c r="G402" s="14" t="str">
        <x:f>IF(OR(A402="",'02 Balance Sheet'!$B$2&lt;&gt;$A402),"",SUMIF('02 Balance Sheet'!$D:$D,"CNY",'02 Balance Sheet'!$H:$H))</x:f>
      </x:c>
      <x:c r="H402" s="14" t="str">
        <x:f>IF(OR(A402="",'02 Balance Sheet'!$B$2&lt;&gt;$A402),"",SUMIF('02 Balance Sheet'!$D:$D,"USD",'02 Balance Sheet'!$H:$H))</x:f>
      </x:c>
      <x:c r="I402" s="14" t="str">
        <x:f>IF(OR(A402="",'02 Balance Sheet'!$B$2&lt;&gt;$A402),"",SUMIF('02 Balance Sheet'!$D:$D,"HKD",'02 Balance Sheet'!$H:$H))</x:f>
      </x:c>
      <x:c r="J402" s="12" t="str">
        <x:f>IF(A402="","",IF(COUNT(G402:I402)&lt;3,"Awaiting Month-End Snapshot",IF(OR(B402="",D402=""),"Awaiting Monthly Inputs","Ready to Close")))</x:f>
      </x:c>
      <x:c r="K402" s="22"/>
    </x:row>
    <x:row r="403" ht="19.5" customHeight="1">
      <x:c r="A403" s="25"/>
      <x:c r="B403" s="19"/>
      <x:c r="C403" s="19"/>
      <x:c r="D403" s="19"/>
      <x:c r="E403" s="19"/>
      <x:c r="F403" s="14" t="str">
        <x:f>IF(OR(A403="",B403="",D403=""),"",SUM(B403:C403)-N(D403)+N(E403))</x:f>
      </x:c>
      <x:c r="G403" s="14" t="str">
        <x:f>IF(OR(A403="",'02 Balance Sheet'!$B$2&lt;&gt;$A403),"",SUMIF('02 Balance Sheet'!$D:$D,"CNY",'02 Balance Sheet'!$H:$H))</x:f>
      </x:c>
      <x:c r="H403" s="14" t="str">
        <x:f>IF(OR(A403="",'02 Balance Sheet'!$B$2&lt;&gt;$A403),"",SUMIF('02 Balance Sheet'!$D:$D,"USD",'02 Balance Sheet'!$H:$H))</x:f>
      </x:c>
      <x:c r="I403" s="14" t="str">
        <x:f>IF(OR(A403="",'02 Balance Sheet'!$B$2&lt;&gt;$A403),"",SUMIF('02 Balance Sheet'!$D:$D,"HKD",'02 Balance Sheet'!$H:$H))</x:f>
      </x:c>
      <x:c r="J403" s="12" t="str">
        <x:f>IF(A403="","",IF(COUNT(G403:I403)&lt;3,"Awaiting Month-End Snapshot",IF(OR(B403="",D403=""),"Awaiting Monthly Inputs","Ready to Close")))</x:f>
      </x:c>
      <x:c r="K403" s="22"/>
    </x:row>
    <x:row r="404" ht="19.5" customHeight="1">
      <x:c r="A404" s="25"/>
      <x:c r="B404" s="19"/>
      <x:c r="C404" s="19"/>
      <x:c r="D404" s="19"/>
      <x:c r="E404" s="19"/>
      <x:c r="F404" s="14" t="str">
        <x:f>IF(OR(A404="",B404="",D404=""),"",SUM(B404:C404)-N(D404)+N(E404))</x:f>
      </x:c>
      <x:c r="G404" s="14" t="str">
        <x:f>IF(OR(A404="",'02 Balance Sheet'!$B$2&lt;&gt;$A404),"",SUMIF('02 Balance Sheet'!$D:$D,"CNY",'02 Balance Sheet'!$H:$H))</x:f>
      </x:c>
      <x:c r="H404" s="14" t="str">
        <x:f>IF(OR(A404="",'02 Balance Sheet'!$B$2&lt;&gt;$A404),"",SUMIF('02 Balance Sheet'!$D:$D,"USD",'02 Balance Sheet'!$H:$H))</x:f>
      </x:c>
      <x:c r="I404" s="14" t="str">
        <x:f>IF(OR(A404="",'02 Balance Sheet'!$B$2&lt;&gt;$A404),"",SUMIF('02 Balance Sheet'!$D:$D,"HKD",'02 Balance Sheet'!$H:$H))</x:f>
      </x:c>
      <x:c r="J404" s="12" t="str">
        <x:f>IF(A404="","",IF(COUNT(G404:I404)&lt;3,"Awaiting Month-End Snapshot",IF(OR(B404="",D404=""),"Awaiting Monthly Inputs","Ready to Close")))</x:f>
      </x:c>
      <x:c r="K404" s="22"/>
    </x:row>
  </x:sheetData>
  <x:mergeCells>
    <x:mergeCell ref="A1:K1"/>
    <x:mergeCell ref="A2:K2"/>
  </x:mergeCells>
  <x:dataValidations count="1">
    <x:dataValidation type="list" sqref="J5:J404">
      <x:formula1>"Closed,Awaiting Month-End Snapshot,Awaiting Monthly Inputs,Ready to Close"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220000267028809" hidden="0" customWidth="1"/>
    <x:col min="2" max="2" width="12.779999732971191" hidden="0" customWidth="1"/>
    <x:col min="3" max="3" width="24.440000534057617" hidden="0" customWidth="1"/>
    <x:col min="4" max="4" width="11.670000076293945" hidden="0" customWidth="1"/>
    <x:col min="5" max="5" width="9.4399995803833" hidden="0" customWidth="1"/>
    <x:col min="6" max="6" width="13.329999923706055" hidden="0" customWidth="1"/>
    <x:col min="7" max="7" width="11.109999656677246" hidden="0" customWidth="1"/>
    <x:col min="8" max="8" width="21.110000610351562" hidden="0" customWidth="1"/>
    <x:col min="9" max="9" width="33.33000183105469" hidden="0" customWidth="1"/>
  </x:cols>
  <x:sheetData>
    <x:row r="1" ht="21" customHeight="1">
      <x:c r="A1" s="4" t="str">
        <x:v>INVESTMENT FLOW — ACTUAL CAPITAL EVENTS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7" t="str">
        <x:v>Record investment and FX activity by actual event date. Keep purchases, conversions, dividends, interest, and fees separate from monthly income and spending.</x:v>
      </x:c>
      <x:c r="B2" s="7"/>
      <x:c r="C2" s="7"/>
      <x:c r="D2" s="7"/>
      <x:c r="E2" s="7"/>
      <x:c r="F2" s="7"/>
      <x:c r="G2" s="7"/>
      <x:c r="H2" s="7"/>
      <x:c r="I2" s="7"/>
    </x:row>
    <x:row r="3" ht="9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.5" customHeight="1">
      <x:c r="A4" s="11" t="str">
        <x:v>EVENT DATE</x:v>
      </x:c>
      <x:c r="B4" s="11" t="str">
        <x:v>ACTION</x:v>
      </x:c>
      <x:c r="C4" s="11" t="str">
        <x:v>ASSET / PURPOSE</x:v>
      </x:c>
      <x:c r="D4" s="11" t="str">
        <x:v>TICKER</x:v>
      </x:c>
      <x:c r="E4" s="11" t="str">
        <x:v>CURRENCY</x:v>
      </x:c>
      <x:c r="F4" s="11" t="str">
        <x:v>AMOUNT LOCAL</x:v>
      </x:c>
      <x:c r="G4" s="11" t="str">
        <x:v>QUANTITY</x:v>
      </x:c>
      <x:c r="H4" s="11" t="str">
        <x:v>CNY PAID / RECEIVED (FX ONLY)</x:v>
      </x:c>
      <x:c r="I4" s="11" t="str">
        <x:v>NOTES</x:v>
      </x:c>
    </x:row>
    <x:row r="5" ht="19.5" customHeight="1">
      <x:c r="A5" s="25"/>
      <x:c r="B5" s="18"/>
      <x:c r="C5" s="18"/>
      <x:c r="D5" s="18"/>
      <x:c r="E5" s="18"/>
      <x:c r="F5" s="19"/>
      <x:c r="G5" s="19"/>
      <x:c r="H5" s="19"/>
      <x:c r="I5" s="22"/>
    </x:row>
    <x:row r="6" ht="19.5" customHeight="1">
      <x:c r="A6" s="25"/>
      <x:c r="B6" s="18"/>
      <x:c r="C6" s="18"/>
      <x:c r="D6" s="18"/>
      <x:c r="E6" s="18"/>
      <x:c r="F6" s="19"/>
      <x:c r="G6" s="19"/>
      <x:c r="H6" s="19"/>
      <x:c r="I6" s="22"/>
    </x:row>
    <x:row r="7" ht="19.5" customHeight="1">
      <x:c r="A7" s="25"/>
      <x:c r="B7" s="18"/>
      <x:c r="C7" s="18"/>
      <x:c r="D7" s="18"/>
      <x:c r="E7" s="18"/>
      <x:c r="F7" s="19"/>
      <x:c r="G7" s="19"/>
      <x:c r="H7" s="19"/>
      <x:c r="I7" s="22"/>
    </x:row>
    <x:row r="8" ht="19.5" customHeight="1">
      <x:c r="A8" s="25"/>
      <x:c r="B8" s="18"/>
      <x:c r="C8" s="18"/>
      <x:c r="D8" s="18"/>
      <x:c r="E8" s="18"/>
      <x:c r="F8" s="19"/>
      <x:c r="G8" s="19"/>
      <x:c r="H8" s="19"/>
      <x:c r="I8" s="22"/>
    </x:row>
    <x:row r="9" ht="19.5" customHeight="1">
      <x:c r="A9" s="25"/>
      <x:c r="B9" s="18"/>
      <x:c r="C9" s="18"/>
      <x:c r="D9" s="18"/>
      <x:c r="E9" s="18"/>
      <x:c r="F9" s="19"/>
      <x:c r="G9" s="19"/>
      <x:c r="H9" s="19"/>
      <x:c r="I9" s="22"/>
    </x:row>
    <x:row r="10" ht="19.5" customHeight="1">
      <x:c r="A10" s="25"/>
      <x:c r="B10" s="18"/>
      <x:c r="C10" s="18"/>
      <x:c r="D10" s="18"/>
      <x:c r="E10" s="18"/>
      <x:c r="F10" s="19"/>
      <x:c r="G10" s="19"/>
      <x:c r="H10" s="19"/>
      <x:c r="I10" s="22"/>
    </x:row>
    <x:row r="11" ht="19.5" customHeight="1">
      <x:c r="A11" s="25"/>
      <x:c r="B11" s="18"/>
      <x:c r="C11" s="18"/>
      <x:c r="D11" s="18"/>
      <x:c r="E11" s="18"/>
      <x:c r="F11" s="19"/>
      <x:c r="G11" s="19"/>
      <x:c r="H11" s="19"/>
      <x:c r="I11" s="22"/>
    </x:row>
    <x:row r="12" ht="19.5" customHeight="1">
      <x:c r="A12" s="25"/>
      <x:c r="B12" s="18"/>
      <x:c r="C12" s="18"/>
      <x:c r="D12" s="18"/>
      <x:c r="E12" s="18"/>
      <x:c r="F12" s="19"/>
      <x:c r="G12" s="19"/>
      <x:c r="H12" s="19"/>
      <x:c r="I12" s="22"/>
    </x:row>
    <x:row r="13" ht="19.5" customHeight="1">
      <x:c r="A13" s="25"/>
      <x:c r="B13" s="18"/>
      <x:c r="C13" s="18"/>
      <x:c r="D13" s="18"/>
      <x:c r="E13" s="18"/>
      <x:c r="F13" s="19"/>
      <x:c r="G13" s="19"/>
      <x:c r="H13" s="19"/>
      <x:c r="I13" s="22"/>
    </x:row>
    <x:row r="14" ht="19.5" customHeight="1">
      <x:c r="A14" s="25"/>
      <x:c r="B14" s="18"/>
      <x:c r="C14" s="18"/>
      <x:c r="D14" s="18"/>
      <x:c r="E14" s="18"/>
      <x:c r="F14" s="19"/>
      <x:c r="G14" s="19"/>
      <x:c r="H14" s="19"/>
      <x:c r="I14" s="22"/>
    </x:row>
    <x:row r="15" ht="19.5" customHeight="1">
      <x:c r="A15" s="25"/>
      <x:c r="B15" s="18"/>
      <x:c r="C15" s="18"/>
      <x:c r="D15" s="18"/>
      <x:c r="E15" s="18"/>
      <x:c r="F15" s="19"/>
      <x:c r="G15" s="19"/>
      <x:c r="H15" s="19"/>
      <x:c r="I15" s="22"/>
    </x:row>
    <x:row r="16" ht="19.5" customHeight="1">
      <x:c r="A16" s="25"/>
      <x:c r="B16" s="18"/>
      <x:c r="C16" s="18"/>
      <x:c r="D16" s="18"/>
      <x:c r="E16" s="18"/>
      <x:c r="F16" s="19"/>
      <x:c r="G16" s="19"/>
      <x:c r="H16" s="19"/>
      <x:c r="I16" s="22"/>
    </x:row>
    <x:row r="17" ht="19.5" customHeight="1">
      <x:c r="A17" s="25"/>
      <x:c r="B17" s="18"/>
      <x:c r="C17" s="18"/>
      <x:c r="D17" s="18"/>
      <x:c r="E17" s="18"/>
      <x:c r="F17" s="19"/>
      <x:c r="G17" s="19"/>
      <x:c r="H17" s="19"/>
      <x:c r="I17" s="22"/>
    </x:row>
    <x:row r="18" ht="19.5" customHeight="1">
      <x:c r="A18" s="25"/>
      <x:c r="B18" s="18"/>
      <x:c r="C18" s="18"/>
      <x:c r="D18" s="18"/>
      <x:c r="E18" s="18"/>
      <x:c r="F18" s="19"/>
      <x:c r="G18" s="19"/>
      <x:c r="H18" s="19"/>
      <x:c r="I18" s="22"/>
    </x:row>
    <x:row r="19" ht="19.5" customHeight="1">
      <x:c r="A19" s="25"/>
      <x:c r="B19" s="18"/>
      <x:c r="C19" s="18"/>
      <x:c r="D19" s="18"/>
      <x:c r="E19" s="18"/>
      <x:c r="F19" s="19"/>
      <x:c r="G19" s="19"/>
      <x:c r="H19" s="19"/>
      <x:c r="I19" s="22"/>
    </x:row>
    <x:row r="20" ht="19.5" customHeight="1">
      <x:c r="A20" s="25"/>
      <x:c r="B20" s="18"/>
      <x:c r="C20" s="18"/>
      <x:c r="D20" s="18"/>
      <x:c r="E20" s="18"/>
      <x:c r="F20" s="19"/>
      <x:c r="G20" s="19"/>
      <x:c r="H20" s="19"/>
      <x:c r="I20" s="22"/>
    </x:row>
    <x:row r="21" ht="19.5" customHeight="1">
      <x:c r="A21" s="25"/>
      <x:c r="B21" s="18"/>
      <x:c r="C21" s="18"/>
      <x:c r="D21" s="18"/>
      <x:c r="E21" s="18"/>
      <x:c r="F21" s="19"/>
      <x:c r="G21" s="19"/>
      <x:c r="H21" s="19"/>
      <x:c r="I21" s="22"/>
    </x:row>
    <x:row r="22" ht="19.5" customHeight="1">
      <x:c r="A22" s="25"/>
      <x:c r="B22" s="18"/>
      <x:c r="C22" s="18"/>
      <x:c r="D22" s="18"/>
      <x:c r="E22" s="18"/>
      <x:c r="F22" s="19"/>
      <x:c r="G22" s="19"/>
      <x:c r="H22" s="19"/>
      <x:c r="I22" s="22"/>
    </x:row>
    <x:row r="23" ht="19.5" customHeight="1">
      <x:c r="A23" s="25"/>
      <x:c r="B23" s="18"/>
      <x:c r="C23" s="18"/>
      <x:c r="D23" s="18"/>
      <x:c r="E23" s="18"/>
      <x:c r="F23" s="19"/>
      <x:c r="G23" s="19"/>
      <x:c r="H23" s="19"/>
      <x:c r="I23" s="22"/>
    </x:row>
    <x:row r="24" ht="19.5" customHeight="1">
      <x:c r="A24" s="25"/>
      <x:c r="B24" s="18"/>
      <x:c r="C24" s="18"/>
      <x:c r="D24" s="18"/>
      <x:c r="E24" s="18"/>
      <x:c r="F24" s="19"/>
      <x:c r="G24" s="19"/>
      <x:c r="H24" s="19"/>
      <x:c r="I24" s="22"/>
    </x:row>
    <x:row r="25" ht="19.5" customHeight="1">
      <x:c r="A25" s="25"/>
      <x:c r="B25" s="18"/>
      <x:c r="C25" s="18"/>
      <x:c r="D25" s="18"/>
      <x:c r="E25" s="18"/>
      <x:c r="F25" s="19"/>
      <x:c r="G25" s="19"/>
      <x:c r="H25" s="19"/>
      <x:c r="I25" s="22"/>
    </x:row>
    <x:row r="26" ht="19.5" customHeight="1">
      <x:c r="A26" s="25"/>
      <x:c r="B26" s="18"/>
      <x:c r="C26" s="18"/>
      <x:c r="D26" s="18"/>
      <x:c r="E26" s="18"/>
      <x:c r="F26" s="19"/>
      <x:c r="G26" s="19"/>
      <x:c r="H26" s="19"/>
      <x:c r="I26" s="22"/>
    </x:row>
    <x:row r="27" ht="19.5" customHeight="1">
      <x:c r="A27" s="25"/>
      <x:c r="B27" s="18"/>
      <x:c r="C27" s="18"/>
      <x:c r="D27" s="18"/>
      <x:c r="E27" s="18"/>
      <x:c r="F27" s="19"/>
      <x:c r="G27" s="19"/>
      <x:c r="H27" s="19"/>
      <x:c r="I27" s="22"/>
    </x:row>
    <x:row r="28" ht="19.5" customHeight="1">
      <x:c r="A28" s="25"/>
      <x:c r="B28" s="18"/>
      <x:c r="C28" s="18"/>
      <x:c r="D28" s="18"/>
      <x:c r="E28" s="18"/>
      <x:c r="F28" s="19"/>
      <x:c r="G28" s="19"/>
      <x:c r="H28" s="19"/>
      <x:c r="I28" s="22"/>
    </x:row>
    <x:row r="29" ht="19.5" customHeight="1">
      <x:c r="A29" s="25"/>
      <x:c r="B29" s="18"/>
      <x:c r="C29" s="18"/>
      <x:c r="D29" s="18"/>
      <x:c r="E29" s="18"/>
      <x:c r="F29" s="19"/>
      <x:c r="G29" s="19"/>
      <x:c r="H29" s="19"/>
      <x:c r="I29" s="22"/>
    </x:row>
    <x:row r="30" ht="19.5" customHeight="1">
      <x:c r="A30" s="25"/>
      <x:c r="B30" s="18"/>
      <x:c r="C30" s="18"/>
      <x:c r="D30" s="18"/>
      <x:c r="E30" s="18"/>
      <x:c r="F30" s="19"/>
      <x:c r="G30" s="19"/>
      <x:c r="H30" s="19"/>
      <x:c r="I30" s="22"/>
    </x:row>
    <x:row r="31" ht="19.5" customHeight="1">
      <x:c r="A31" s="25"/>
      <x:c r="B31" s="18"/>
      <x:c r="C31" s="18"/>
      <x:c r="D31" s="18"/>
      <x:c r="E31" s="18"/>
      <x:c r="F31" s="19"/>
      <x:c r="G31" s="19"/>
      <x:c r="H31" s="19"/>
      <x:c r="I31" s="22"/>
    </x:row>
    <x:row r="32" ht="19.5" customHeight="1">
      <x:c r="A32" s="25"/>
      <x:c r="B32" s="18"/>
      <x:c r="C32" s="18"/>
      <x:c r="D32" s="18"/>
      <x:c r="E32" s="18"/>
      <x:c r="F32" s="19"/>
      <x:c r="G32" s="19"/>
      <x:c r="H32" s="19"/>
      <x:c r="I32" s="22"/>
    </x:row>
    <x:row r="33" ht="19.5" customHeight="1">
      <x:c r="A33" s="25"/>
      <x:c r="B33" s="18"/>
      <x:c r="C33" s="18"/>
      <x:c r="D33" s="18"/>
      <x:c r="E33" s="18"/>
      <x:c r="F33" s="19"/>
      <x:c r="G33" s="19"/>
      <x:c r="H33" s="19"/>
      <x:c r="I33" s="22"/>
    </x:row>
    <x:row r="34" ht="19.5" customHeight="1">
      <x:c r="A34" s="25"/>
      <x:c r="B34" s="18"/>
      <x:c r="C34" s="18"/>
      <x:c r="D34" s="18"/>
      <x:c r="E34" s="18"/>
      <x:c r="F34" s="19"/>
      <x:c r="G34" s="19"/>
      <x:c r="H34" s="19"/>
      <x:c r="I34" s="22"/>
    </x:row>
    <x:row r="35" ht="19.5" customHeight="1">
      <x:c r="A35" s="25"/>
      <x:c r="B35" s="18"/>
      <x:c r="C35" s="18"/>
      <x:c r="D35" s="18"/>
      <x:c r="E35" s="18"/>
      <x:c r="F35" s="19"/>
      <x:c r="G35" s="19"/>
      <x:c r="H35" s="19"/>
      <x:c r="I35" s="22"/>
    </x:row>
    <x:row r="36" ht="19.5" customHeight="1">
      <x:c r="A36" s="25"/>
      <x:c r="B36" s="18"/>
      <x:c r="C36" s="18"/>
      <x:c r="D36" s="18"/>
      <x:c r="E36" s="18"/>
      <x:c r="F36" s="19"/>
      <x:c r="G36" s="19"/>
      <x:c r="H36" s="19"/>
      <x:c r="I36" s="22"/>
    </x:row>
    <x:row r="37" ht="19.5" customHeight="1">
      <x:c r="A37" s="25"/>
      <x:c r="B37" s="18"/>
      <x:c r="C37" s="18"/>
      <x:c r="D37" s="18"/>
      <x:c r="E37" s="18"/>
      <x:c r="F37" s="19"/>
      <x:c r="G37" s="19"/>
      <x:c r="H37" s="19"/>
      <x:c r="I37" s="22"/>
    </x:row>
    <x:row r="38" ht="19.5" customHeight="1">
      <x:c r="A38" s="25"/>
      <x:c r="B38" s="18"/>
      <x:c r="C38" s="18"/>
      <x:c r="D38" s="18"/>
      <x:c r="E38" s="18"/>
      <x:c r="F38" s="19"/>
      <x:c r="G38" s="19"/>
      <x:c r="H38" s="19"/>
      <x:c r="I38" s="22"/>
    </x:row>
    <x:row r="39" ht="19.5" customHeight="1">
      <x:c r="A39" s="25"/>
      <x:c r="B39" s="18"/>
      <x:c r="C39" s="18"/>
      <x:c r="D39" s="18"/>
      <x:c r="E39" s="18"/>
      <x:c r="F39" s="19"/>
      <x:c r="G39" s="19"/>
      <x:c r="H39" s="19"/>
      <x:c r="I39" s="22"/>
    </x:row>
    <x:row r="40" ht="19.5" customHeight="1">
      <x:c r="A40" s="25"/>
      <x:c r="B40" s="18"/>
      <x:c r="C40" s="18"/>
      <x:c r="D40" s="18"/>
      <x:c r="E40" s="18"/>
      <x:c r="F40" s="19"/>
      <x:c r="G40" s="19"/>
      <x:c r="H40" s="19"/>
      <x:c r="I40" s="22"/>
    </x:row>
    <x:row r="41" ht="19.5" customHeight="1">
      <x:c r="A41" s="25"/>
      <x:c r="B41" s="18"/>
      <x:c r="C41" s="18"/>
      <x:c r="D41" s="18"/>
      <x:c r="E41" s="18"/>
      <x:c r="F41" s="19"/>
      <x:c r="G41" s="19"/>
      <x:c r="H41" s="19"/>
      <x:c r="I41" s="22"/>
    </x:row>
    <x:row r="42" ht="19.5" customHeight="1">
      <x:c r="A42" s="25"/>
      <x:c r="B42" s="18"/>
      <x:c r="C42" s="18"/>
      <x:c r="D42" s="18"/>
      <x:c r="E42" s="18"/>
      <x:c r="F42" s="19"/>
      <x:c r="G42" s="19"/>
      <x:c r="H42" s="19"/>
      <x:c r="I42" s="22"/>
    </x:row>
    <x:row r="43" ht="19.5" customHeight="1">
      <x:c r="A43" s="25"/>
      <x:c r="B43" s="18"/>
      <x:c r="C43" s="18"/>
      <x:c r="D43" s="18"/>
      <x:c r="E43" s="18"/>
      <x:c r="F43" s="19"/>
      <x:c r="G43" s="19"/>
      <x:c r="H43" s="19"/>
      <x:c r="I43" s="22"/>
    </x:row>
    <x:row r="44" ht="19.5" customHeight="1">
      <x:c r="A44" s="25"/>
      <x:c r="B44" s="18"/>
      <x:c r="C44" s="18"/>
      <x:c r="D44" s="18"/>
      <x:c r="E44" s="18"/>
      <x:c r="F44" s="19"/>
      <x:c r="G44" s="19"/>
      <x:c r="H44" s="19"/>
      <x:c r="I44" s="22"/>
    </x:row>
    <x:row r="45" ht="19.5" customHeight="1">
      <x:c r="A45" s="25"/>
      <x:c r="B45" s="18"/>
      <x:c r="C45" s="18"/>
      <x:c r="D45" s="18"/>
      <x:c r="E45" s="18"/>
      <x:c r="F45" s="19"/>
      <x:c r="G45" s="19"/>
      <x:c r="H45" s="19"/>
      <x:c r="I45" s="22"/>
    </x:row>
    <x:row r="46" ht="19.5" customHeight="1">
      <x:c r="A46" s="25"/>
      <x:c r="B46" s="18"/>
      <x:c r="C46" s="18"/>
      <x:c r="D46" s="18"/>
      <x:c r="E46" s="18"/>
      <x:c r="F46" s="19"/>
      <x:c r="G46" s="19"/>
      <x:c r="H46" s="19"/>
      <x:c r="I46" s="22"/>
    </x:row>
    <x:row r="47" ht="19.5" customHeight="1">
      <x:c r="A47" s="25"/>
      <x:c r="B47" s="18"/>
      <x:c r="C47" s="18"/>
      <x:c r="D47" s="18"/>
      <x:c r="E47" s="18"/>
      <x:c r="F47" s="19"/>
      <x:c r="G47" s="19"/>
      <x:c r="H47" s="19"/>
      <x:c r="I47" s="22"/>
    </x:row>
    <x:row r="48" ht="19.5" customHeight="1">
      <x:c r="A48" s="25"/>
      <x:c r="B48" s="18"/>
      <x:c r="C48" s="18"/>
      <x:c r="D48" s="18"/>
      <x:c r="E48" s="18"/>
      <x:c r="F48" s="19"/>
      <x:c r="G48" s="19"/>
      <x:c r="H48" s="19"/>
      <x:c r="I48" s="22"/>
    </x:row>
    <x:row r="49" ht="19.5" customHeight="1">
      <x:c r="A49" s="25"/>
      <x:c r="B49" s="18"/>
      <x:c r="C49" s="18"/>
      <x:c r="D49" s="18"/>
      <x:c r="E49" s="18"/>
      <x:c r="F49" s="19"/>
      <x:c r="G49" s="19"/>
      <x:c r="H49" s="19"/>
      <x:c r="I49" s="22"/>
    </x:row>
    <x:row r="50" ht="19.5" customHeight="1">
      <x:c r="A50" s="25"/>
      <x:c r="B50" s="18"/>
      <x:c r="C50" s="18"/>
      <x:c r="D50" s="18"/>
      <x:c r="E50" s="18"/>
      <x:c r="F50" s="19"/>
      <x:c r="G50" s="19"/>
      <x:c r="H50" s="19"/>
      <x:c r="I50" s="22"/>
    </x:row>
    <x:row r="51" ht="19.5" customHeight="1">
      <x:c r="A51" s="25"/>
      <x:c r="B51" s="18"/>
      <x:c r="C51" s="18"/>
      <x:c r="D51" s="18"/>
      <x:c r="E51" s="18"/>
      <x:c r="F51" s="19"/>
      <x:c r="G51" s="19"/>
      <x:c r="H51" s="19"/>
      <x:c r="I51" s="22"/>
    </x:row>
    <x:row r="52" ht="19.5" customHeight="1">
      <x:c r="A52" s="25"/>
      <x:c r="B52" s="18"/>
      <x:c r="C52" s="18"/>
      <x:c r="D52" s="18"/>
      <x:c r="E52" s="18"/>
      <x:c r="F52" s="19"/>
      <x:c r="G52" s="19"/>
      <x:c r="H52" s="19"/>
      <x:c r="I52" s="22"/>
    </x:row>
    <x:row r="53" ht="19.5" customHeight="1">
      <x:c r="A53" s="25"/>
      <x:c r="B53" s="18"/>
      <x:c r="C53" s="18"/>
      <x:c r="D53" s="18"/>
      <x:c r="E53" s="18"/>
      <x:c r="F53" s="19"/>
      <x:c r="G53" s="19"/>
      <x:c r="H53" s="19"/>
      <x:c r="I53" s="22"/>
    </x:row>
    <x:row r="54" ht="19.5" customHeight="1">
      <x:c r="A54" s="25"/>
      <x:c r="B54" s="18"/>
      <x:c r="C54" s="18"/>
      <x:c r="D54" s="18"/>
      <x:c r="E54" s="18"/>
      <x:c r="F54" s="19"/>
      <x:c r="G54" s="19"/>
      <x:c r="H54" s="19"/>
      <x:c r="I54" s="22"/>
    </x:row>
    <x:row r="55" ht="19.5" customHeight="1">
      <x:c r="A55" s="25"/>
      <x:c r="B55" s="18"/>
      <x:c r="C55" s="18"/>
      <x:c r="D55" s="18"/>
      <x:c r="E55" s="18"/>
      <x:c r="F55" s="19"/>
      <x:c r="G55" s="19"/>
      <x:c r="H55" s="19"/>
      <x:c r="I55" s="22"/>
    </x:row>
    <x:row r="56" ht="19.5" customHeight="1">
      <x:c r="A56" s="25"/>
      <x:c r="B56" s="18"/>
      <x:c r="C56" s="18"/>
      <x:c r="D56" s="18"/>
      <x:c r="E56" s="18"/>
      <x:c r="F56" s="19"/>
      <x:c r="G56" s="19"/>
      <x:c r="H56" s="19"/>
      <x:c r="I56" s="22"/>
    </x:row>
    <x:row r="57" ht="19.5" customHeight="1">
      <x:c r="A57" s="25"/>
      <x:c r="B57" s="18"/>
      <x:c r="C57" s="18"/>
      <x:c r="D57" s="18"/>
      <x:c r="E57" s="18"/>
      <x:c r="F57" s="19"/>
      <x:c r="G57" s="19"/>
      <x:c r="H57" s="19"/>
      <x:c r="I57" s="22"/>
    </x:row>
    <x:row r="58" ht="19.5" customHeight="1">
      <x:c r="A58" s="25"/>
      <x:c r="B58" s="18"/>
      <x:c r="C58" s="18"/>
      <x:c r="D58" s="18"/>
      <x:c r="E58" s="18"/>
      <x:c r="F58" s="19"/>
      <x:c r="G58" s="19"/>
      <x:c r="H58" s="19"/>
      <x:c r="I58" s="22"/>
    </x:row>
    <x:row r="59" ht="19.5" customHeight="1">
      <x:c r="A59" s="25"/>
      <x:c r="B59" s="18"/>
      <x:c r="C59" s="18"/>
      <x:c r="D59" s="18"/>
      <x:c r="E59" s="18"/>
      <x:c r="F59" s="19"/>
      <x:c r="G59" s="19"/>
      <x:c r="H59" s="19"/>
      <x:c r="I59" s="22"/>
    </x:row>
    <x:row r="60" ht="19.5" customHeight="1">
      <x:c r="A60" s="25"/>
      <x:c r="B60" s="18"/>
      <x:c r="C60" s="18"/>
      <x:c r="D60" s="18"/>
      <x:c r="E60" s="18"/>
      <x:c r="F60" s="19"/>
      <x:c r="G60" s="19"/>
      <x:c r="H60" s="19"/>
      <x:c r="I60" s="22"/>
    </x:row>
    <x:row r="61" ht="19.5" customHeight="1">
      <x:c r="A61" s="25"/>
      <x:c r="B61" s="18"/>
      <x:c r="C61" s="18"/>
      <x:c r="D61" s="18"/>
      <x:c r="E61" s="18"/>
      <x:c r="F61" s="19"/>
      <x:c r="G61" s="19"/>
      <x:c r="H61" s="19"/>
      <x:c r="I61" s="22"/>
    </x:row>
    <x:row r="62" ht="19.5" customHeight="1">
      <x:c r="A62" s="25"/>
      <x:c r="B62" s="18"/>
      <x:c r="C62" s="18"/>
      <x:c r="D62" s="18"/>
      <x:c r="E62" s="18"/>
      <x:c r="F62" s="19"/>
      <x:c r="G62" s="19"/>
      <x:c r="H62" s="19"/>
      <x:c r="I62" s="22"/>
    </x:row>
    <x:row r="63" ht="19.5" customHeight="1">
      <x:c r="A63" s="25"/>
      <x:c r="B63" s="18"/>
      <x:c r="C63" s="18"/>
      <x:c r="D63" s="18"/>
      <x:c r="E63" s="18"/>
      <x:c r="F63" s="19"/>
      <x:c r="G63" s="19"/>
      <x:c r="H63" s="19"/>
      <x:c r="I63" s="22"/>
    </x:row>
    <x:row r="64" ht="19.5" customHeight="1">
      <x:c r="A64" s="25"/>
      <x:c r="B64" s="18"/>
      <x:c r="C64" s="18"/>
      <x:c r="D64" s="18"/>
      <x:c r="E64" s="18"/>
      <x:c r="F64" s="19"/>
      <x:c r="G64" s="19"/>
      <x:c r="H64" s="19"/>
      <x:c r="I64" s="22"/>
    </x:row>
    <x:row r="65" ht="19.5" customHeight="1">
      <x:c r="A65" s="25"/>
      <x:c r="B65" s="18"/>
      <x:c r="C65" s="18"/>
      <x:c r="D65" s="18"/>
      <x:c r="E65" s="18"/>
      <x:c r="F65" s="19"/>
      <x:c r="G65" s="19"/>
      <x:c r="H65" s="19"/>
      <x:c r="I65" s="22"/>
    </x:row>
    <x:row r="66" ht="19.5" customHeight="1">
      <x:c r="A66" s="25"/>
      <x:c r="B66" s="18"/>
      <x:c r="C66" s="18"/>
      <x:c r="D66" s="18"/>
      <x:c r="E66" s="18"/>
      <x:c r="F66" s="19"/>
      <x:c r="G66" s="19"/>
      <x:c r="H66" s="19"/>
      <x:c r="I66" s="22"/>
    </x:row>
    <x:row r="67" ht="19.5" customHeight="1">
      <x:c r="A67" s="25"/>
      <x:c r="B67" s="18"/>
      <x:c r="C67" s="18"/>
      <x:c r="D67" s="18"/>
      <x:c r="E67" s="18"/>
      <x:c r="F67" s="19"/>
      <x:c r="G67" s="19"/>
      <x:c r="H67" s="19"/>
      <x:c r="I67" s="22"/>
    </x:row>
    <x:row r="68" ht="19.5" customHeight="1">
      <x:c r="A68" s="25"/>
      <x:c r="B68" s="18"/>
      <x:c r="C68" s="18"/>
      <x:c r="D68" s="18"/>
      <x:c r="E68" s="18"/>
      <x:c r="F68" s="19"/>
      <x:c r="G68" s="19"/>
      <x:c r="H68" s="19"/>
      <x:c r="I68" s="22"/>
    </x:row>
    <x:row r="69" ht="19.5" customHeight="1">
      <x:c r="A69" s="25"/>
      <x:c r="B69" s="18"/>
      <x:c r="C69" s="18"/>
      <x:c r="D69" s="18"/>
      <x:c r="E69" s="18"/>
      <x:c r="F69" s="19"/>
      <x:c r="G69" s="19"/>
      <x:c r="H69" s="19"/>
      <x:c r="I69" s="22"/>
    </x:row>
    <x:row r="70" ht="19.5" customHeight="1">
      <x:c r="A70" s="25"/>
      <x:c r="B70" s="18"/>
      <x:c r="C70" s="18"/>
      <x:c r="D70" s="18"/>
      <x:c r="E70" s="18"/>
      <x:c r="F70" s="19"/>
      <x:c r="G70" s="19"/>
      <x:c r="H70" s="19"/>
      <x:c r="I70" s="22"/>
    </x:row>
    <x:row r="71" ht="19.5" customHeight="1">
      <x:c r="A71" s="25"/>
      <x:c r="B71" s="18"/>
      <x:c r="C71" s="18"/>
      <x:c r="D71" s="18"/>
      <x:c r="E71" s="18"/>
      <x:c r="F71" s="19"/>
      <x:c r="G71" s="19"/>
      <x:c r="H71" s="19"/>
      <x:c r="I71" s="22"/>
    </x:row>
    <x:row r="72" ht="19.5" customHeight="1">
      <x:c r="A72" s="25"/>
      <x:c r="B72" s="18"/>
      <x:c r="C72" s="18"/>
      <x:c r="D72" s="18"/>
      <x:c r="E72" s="18"/>
      <x:c r="F72" s="19"/>
      <x:c r="G72" s="19"/>
      <x:c r="H72" s="19"/>
      <x:c r="I72" s="22"/>
    </x:row>
    <x:row r="73" ht="19.5" customHeight="1">
      <x:c r="A73" s="25"/>
      <x:c r="B73" s="18"/>
      <x:c r="C73" s="18"/>
      <x:c r="D73" s="18"/>
      <x:c r="E73" s="18"/>
      <x:c r="F73" s="19"/>
      <x:c r="G73" s="19"/>
      <x:c r="H73" s="19"/>
      <x:c r="I73" s="22"/>
    </x:row>
    <x:row r="74" ht="19.5" customHeight="1">
      <x:c r="A74" s="25"/>
      <x:c r="B74" s="18"/>
      <x:c r="C74" s="18"/>
      <x:c r="D74" s="18"/>
      <x:c r="E74" s="18"/>
      <x:c r="F74" s="19"/>
      <x:c r="G74" s="19"/>
      <x:c r="H74" s="19"/>
      <x:c r="I74" s="22"/>
    </x:row>
    <x:row r="75" ht="19.5" customHeight="1">
      <x:c r="A75" s="25"/>
      <x:c r="B75" s="18"/>
      <x:c r="C75" s="18"/>
      <x:c r="D75" s="18"/>
      <x:c r="E75" s="18"/>
      <x:c r="F75" s="19"/>
      <x:c r="G75" s="19"/>
      <x:c r="H75" s="19"/>
      <x:c r="I75" s="22"/>
    </x:row>
    <x:row r="76" ht="19.5" customHeight="1">
      <x:c r="A76" s="25"/>
      <x:c r="B76" s="18"/>
      <x:c r="C76" s="18"/>
      <x:c r="D76" s="18"/>
      <x:c r="E76" s="18"/>
      <x:c r="F76" s="19"/>
      <x:c r="G76" s="19"/>
      <x:c r="H76" s="19"/>
      <x:c r="I76" s="22"/>
    </x:row>
    <x:row r="77" ht="19.5" customHeight="1">
      <x:c r="A77" s="25"/>
      <x:c r="B77" s="18"/>
      <x:c r="C77" s="18"/>
      <x:c r="D77" s="18"/>
      <x:c r="E77" s="18"/>
      <x:c r="F77" s="19"/>
      <x:c r="G77" s="19"/>
      <x:c r="H77" s="19"/>
      <x:c r="I77" s="22"/>
    </x:row>
    <x:row r="78" ht="19.5" customHeight="1">
      <x:c r="A78" s="25"/>
      <x:c r="B78" s="18"/>
      <x:c r="C78" s="18"/>
      <x:c r="D78" s="18"/>
      <x:c r="E78" s="18"/>
      <x:c r="F78" s="19"/>
      <x:c r="G78" s="19"/>
      <x:c r="H78" s="19"/>
      <x:c r="I78" s="22"/>
    </x:row>
    <x:row r="79" ht="19.5" customHeight="1">
      <x:c r="A79" s="25"/>
      <x:c r="B79" s="18"/>
      <x:c r="C79" s="18"/>
      <x:c r="D79" s="18"/>
      <x:c r="E79" s="18"/>
      <x:c r="F79" s="19"/>
      <x:c r="G79" s="19"/>
      <x:c r="H79" s="19"/>
      <x:c r="I79" s="22"/>
    </x:row>
    <x:row r="80" ht="19.5" customHeight="1">
      <x:c r="A80" s="25"/>
      <x:c r="B80" s="18"/>
      <x:c r="C80" s="18"/>
      <x:c r="D80" s="18"/>
      <x:c r="E80" s="18"/>
      <x:c r="F80" s="19"/>
      <x:c r="G80" s="19"/>
      <x:c r="H80" s="19"/>
      <x:c r="I80" s="22"/>
    </x:row>
    <x:row r="81" ht="19.5" customHeight="1">
      <x:c r="A81" s="25"/>
      <x:c r="B81" s="18"/>
      <x:c r="C81" s="18"/>
      <x:c r="D81" s="18"/>
      <x:c r="E81" s="18"/>
      <x:c r="F81" s="19"/>
      <x:c r="G81" s="19"/>
      <x:c r="H81" s="19"/>
      <x:c r="I81" s="22"/>
    </x:row>
    <x:row r="82" ht="19.5" customHeight="1">
      <x:c r="A82" s="25"/>
      <x:c r="B82" s="18"/>
      <x:c r="C82" s="18"/>
      <x:c r="D82" s="18"/>
      <x:c r="E82" s="18"/>
      <x:c r="F82" s="19"/>
      <x:c r="G82" s="19"/>
      <x:c r="H82" s="19"/>
      <x:c r="I82" s="22"/>
    </x:row>
    <x:row r="83" ht="19.5" customHeight="1">
      <x:c r="A83" s="25"/>
      <x:c r="B83" s="18"/>
      <x:c r="C83" s="18"/>
      <x:c r="D83" s="18"/>
      <x:c r="E83" s="18"/>
      <x:c r="F83" s="19"/>
      <x:c r="G83" s="19"/>
      <x:c r="H83" s="19"/>
      <x:c r="I83" s="22"/>
    </x:row>
    <x:row r="84" ht="19.5" customHeight="1">
      <x:c r="A84" s="25"/>
      <x:c r="B84" s="18"/>
      <x:c r="C84" s="18"/>
      <x:c r="D84" s="18"/>
      <x:c r="E84" s="18"/>
      <x:c r="F84" s="19"/>
      <x:c r="G84" s="19"/>
      <x:c r="H84" s="19"/>
      <x:c r="I84" s="22"/>
    </x:row>
    <x:row r="85" ht="19.5" customHeight="1">
      <x:c r="A85" s="25"/>
      <x:c r="B85" s="18"/>
      <x:c r="C85" s="18"/>
      <x:c r="D85" s="18"/>
      <x:c r="E85" s="18"/>
      <x:c r="F85" s="19"/>
      <x:c r="G85" s="19"/>
      <x:c r="H85" s="19"/>
      <x:c r="I85" s="22"/>
    </x:row>
    <x:row r="86" ht="19.5" customHeight="1">
      <x:c r="A86" s="25"/>
      <x:c r="B86" s="18"/>
      <x:c r="C86" s="18"/>
      <x:c r="D86" s="18"/>
      <x:c r="E86" s="18"/>
      <x:c r="F86" s="19"/>
      <x:c r="G86" s="19"/>
      <x:c r="H86" s="19"/>
      <x:c r="I86" s="22"/>
    </x:row>
    <x:row r="87" ht="19.5" customHeight="1">
      <x:c r="A87" s="25"/>
      <x:c r="B87" s="18"/>
      <x:c r="C87" s="18"/>
      <x:c r="D87" s="18"/>
      <x:c r="E87" s="18"/>
      <x:c r="F87" s="19"/>
      <x:c r="G87" s="19"/>
      <x:c r="H87" s="19"/>
      <x:c r="I87" s="22"/>
    </x:row>
    <x:row r="88" ht="19.5" customHeight="1">
      <x:c r="A88" s="25"/>
      <x:c r="B88" s="18"/>
      <x:c r="C88" s="18"/>
      <x:c r="D88" s="18"/>
      <x:c r="E88" s="18"/>
      <x:c r="F88" s="19"/>
      <x:c r="G88" s="19"/>
      <x:c r="H88" s="19"/>
      <x:c r="I88" s="22"/>
    </x:row>
    <x:row r="89" ht="19.5" customHeight="1">
      <x:c r="A89" s="25"/>
      <x:c r="B89" s="18"/>
      <x:c r="C89" s="18"/>
      <x:c r="D89" s="18"/>
      <x:c r="E89" s="18"/>
      <x:c r="F89" s="19"/>
      <x:c r="G89" s="19"/>
      <x:c r="H89" s="19"/>
      <x:c r="I89" s="22"/>
    </x:row>
    <x:row r="90" ht="19.5" customHeight="1">
      <x:c r="A90" s="25"/>
      <x:c r="B90" s="18"/>
      <x:c r="C90" s="18"/>
      <x:c r="D90" s="18"/>
      <x:c r="E90" s="18"/>
      <x:c r="F90" s="19"/>
      <x:c r="G90" s="19"/>
      <x:c r="H90" s="19"/>
      <x:c r="I90" s="22"/>
    </x:row>
    <x:row r="91" ht="19.5" customHeight="1">
      <x:c r="A91" s="25"/>
      <x:c r="B91" s="18"/>
      <x:c r="C91" s="18"/>
      <x:c r="D91" s="18"/>
      <x:c r="E91" s="18"/>
      <x:c r="F91" s="19"/>
      <x:c r="G91" s="19"/>
      <x:c r="H91" s="19"/>
      <x:c r="I91" s="22"/>
    </x:row>
    <x:row r="92" ht="19.5" customHeight="1">
      <x:c r="A92" s="25"/>
      <x:c r="B92" s="18"/>
      <x:c r="C92" s="18"/>
      <x:c r="D92" s="18"/>
      <x:c r="E92" s="18"/>
      <x:c r="F92" s="19"/>
      <x:c r="G92" s="19"/>
      <x:c r="H92" s="19"/>
      <x:c r="I92" s="22"/>
    </x:row>
    <x:row r="93" ht="19.5" customHeight="1">
      <x:c r="A93" s="25"/>
      <x:c r="B93" s="18"/>
      <x:c r="C93" s="18"/>
      <x:c r="D93" s="18"/>
      <x:c r="E93" s="18"/>
      <x:c r="F93" s="19"/>
      <x:c r="G93" s="19"/>
      <x:c r="H93" s="19"/>
      <x:c r="I93" s="22"/>
    </x:row>
    <x:row r="94" ht="19.5" customHeight="1">
      <x:c r="A94" s="25"/>
      <x:c r="B94" s="18"/>
      <x:c r="C94" s="18"/>
      <x:c r="D94" s="18"/>
      <x:c r="E94" s="18"/>
      <x:c r="F94" s="19"/>
      <x:c r="G94" s="19"/>
      <x:c r="H94" s="19"/>
      <x:c r="I94" s="22"/>
    </x:row>
    <x:row r="95" ht="19.5" customHeight="1">
      <x:c r="A95" s="25"/>
      <x:c r="B95" s="18"/>
      <x:c r="C95" s="18"/>
      <x:c r="D95" s="18"/>
      <x:c r="E95" s="18"/>
      <x:c r="F95" s="19"/>
      <x:c r="G95" s="19"/>
      <x:c r="H95" s="19"/>
      <x:c r="I95" s="22"/>
    </x:row>
    <x:row r="96" ht="19.5" customHeight="1">
      <x:c r="A96" s="25"/>
      <x:c r="B96" s="18"/>
      <x:c r="C96" s="18"/>
      <x:c r="D96" s="18"/>
      <x:c r="E96" s="18"/>
      <x:c r="F96" s="19"/>
      <x:c r="G96" s="19"/>
      <x:c r="H96" s="19"/>
      <x:c r="I96" s="22"/>
    </x:row>
    <x:row r="97" ht="19.5" customHeight="1">
      <x:c r="A97" s="25"/>
      <x:c r="B97" s="18"/>
      <x:c r="C97" s="18"/>
      <x:c r="D97" s="18"/>
      <x:c r="E97" s="18"/>
      <x:c r="F97" s="19"/>
      <x:c r="G97" s="19"/>
      <x:c r="H97" s="19"/>
      <x:c r="I97" s="22"/>
    </x:row>
    <x:row r="98" ht="19.5" customHeight="1">
      <x:c r="A98" s="25"/>
      <x:c r="B98" s="18"/>
      <x:c r="C98" s="18"/>
      <x:c r="D98" s="18"/>
      <x:c r="E98" s="18"/>
      <x:c r="F98" s="19"/>
      <x:c r="G98" s="19"/>
      <x:c r="H98" s="19"/>
      <x:c r="I98" s="22"/>
    </x:row>
    <x:row r="99" ht="19.5" customHeight="1">
      <x:c r="A99" s="25"/>
      <x:c r="B99" s="18"/>
      <x:c r="C99" s="18"/>
      <x:c r="D99" s="18"/>
      <x:c r="E99" s="18"/>
      <x:c r="F99" s="19"/>
      <x:c r="G99" s="19"/>
      <x:c r="H99" s="19"/>
      <x:c r="I99" s="22"/>
    </x:row>
    <x:row r="100" ht="19.5" customHeight="1">
      <x:c r="A100" s="25"/>
      <x:c r="B100" s="18"/>
      <x:c r="C100" s="18"/>
      <x:c r="D100" s="18"/>
      <x:c r="E100" s="18"/>
      <x:c r="F100" s="19"/>
      <x:c r="G100" s="19"/>
      <x:c r="H100" s="19"/>
      <x:c r="I100" s="22"/>
    </x:row>
    <x:row r="101" ht="19.5" customHeight="1">
      <x:c r="A101" s="25"/>
      <x:c r="B101" s="18"/>
      <x:c r="C101" s="18"/>
      <x:c r="D101" s="18"/>
      <x:c r="E101" s="18"/>
      <x:c r="F101" s="19"/>
      <x:c r="G101" s="19"/>
      <x:c r="H101" s="19"/>
      <x:c r="I101" s="22"/>
    </x:row>
    <x:row r="102" ht="19.5" customHeight="1">
      <x:c r="A102" s="25"/>
      <x:c r="B102" s="18"/>
      <x:c r="C102" s="18"/>
      <x:c r="D102" s="18"/>
      <x:c r="E102" s="18"/>
      <x:c r="F102" s="19"/>
      <x:c r="G102" s="19"/>
      <x:c r="H102" s="19"/>
      <x:c r="I102" s="22"/>
    </x:row>
    <x:row r="103" ht="19.5" customHeight="1">
      <x:c r="A103" s="25"/>
      <x:c r="B103" s="18"/>
      <x:c r="C103" s="18"/>
      <x:c r="D103" s="18"/>
      <x:c r="E103" s="18"/>
      <x:c r="F103" s="19"/>
      <x:c r="G103" s="19"/>
      <x:c r="H103" s="19"/>
      <x:c r="I103" s="22"/>
    </x:row>
    <x:row r="104" ht="19.5" customHeight="1">
      <x:c r="A104" s="25"/>
      <x:c r="B104" s="18"/>
      <x:c r="C104" s="18"/>
      <x:c r="D104" s="18"/>
      <x:c r="E104" s="18"/>
      <x:c r="F104" s="19"/>
      <x:c r="G104" s="19"/>
      <x:c r="H104" s="19"/>
      <x:c r="I104" s="22"/>
    </x:row>
    <x:row r="105" ht="19.5" customHeight="1">
      <x:c r="A105" s="25"/>
      <x:c r="B105" s="18"/>
      <x:c r="C105" s="18"/>
      <x:c r="D105" s="18"/>
      <x:c r="E105" s="18"/>
      <x:c r="F105" s="19"/>
      <x:c r="G105" s="19"/>
      <x:c r="H105" s="19"/>
      <x:c r="I105" s="22"/>
    </x:row>
    <x:row r="106" ht="19.5" customHeight="1">
      <x:c r="A106" s="25"/>
      <x:c r="B106" s="18"/>
      <x:c r="C106" s="18"/>
      <x:c r="D106" s="18"/>
      <x:c r="E106" s="18"/>
      <x:c r="F106" s="19"/>
      <x:c r="G106" s="19"/>
      <x:c r="H106" s="19"/>
      <x:c r="I106" s="22"/>
    </x:row>
    <x:row r="107" ht="19.5" customHeight="1">
      <x:c r="A107" s="25"/>
      <x:c r="B107" s="18"/>
      <x:c r="C107" s="18"/>
      <x:c r="D107" s="18"/>
      <x:c r="E107" s="18"/>
      <x:c r="F107" s="19"/>
      <x:c r="G107" s="19"/>
      <x:c r="H107" s="19"/>
      <x:c r="I107" s="22"/>
    </x:row>
    <x:row r="108" ht="19.5" customHeight="1">
      <x:c r="A108" s="25"/>
      <x:c r="B108" s="18"/>
      <x:c r="C108" s="18"/>
      <x:c r="D108" s="18"/>
      <x:c r="E108" s="18"/>
      <x:c r="F108" s="19"/>
      <x:c r="G108" s="19"/>
      <x:c r="H108" s="19"/>
      <x:c r="I108" s="22"/>
    </x:row>
    <x:row r="109" ht="19.5" customHeight="1">
      <x:c r="A109" s="25"/>
      <x:c r="B109" s="18"/>
      <x:c r="C109" s="18"/>
      <x:c r="D109" s="18"/>
      <x:c r="E109" s="18"/>
      <x:c r="F109" s="19"/>
      <x:c r="G109" s="19"/>
      <x:c r="H109" s="19"/>
      <x:c r="I109" s="22"/>
    </x:row>
    <x:row r="110" ht="19.5" customHeight="1">
      <x:c r="A110" s="25"/>
      <x:c r="B110" s="18"/>
      <x:c r="C110" s="18"/>
      <x:c r="D110" s="18"/>
      <x:c r="E110" s="18"/>
      <x:c r="F110" s="19"/>
      <x:c r="G110" s="19"/>
      <x:c r="H110" s="19"/>
      <x:c r="I110" s="22"/>
    </x:row>
    <x:row r="111" ht="19.5" customHeight="1">
      <x:c r="A111" s="25"/>
      <x:c r="B111" s="18"/>
      <x:c r="C111" s="18"/>
      <x:c r="D111" s="18"/>
      <x:c r="E111" s="18"/>
      <x:c r="F111" s="19"/>
      <x:c r="G111" s="19"/>
      <x:c r="H111" s="19"/>
      <x:c r="I111" s="22"/>
    </x:row>
    <x:row r="112" ht="19.5" customHeight="1">
      <x:c r="A112" s="25"/>
      <x:c r="B112" s="18"/>
      <x:c r="C112" s="18"/>
      <x:c r="D112" s="18"/>
      <x:c r="E112" s="18"/>
      <x:c r="F112" s="19"/>
      <x:c r="G112" s="19"/>
      <x:c r="H112" s="19"/>
      <x:c r="I112" s="22"/>
    </x:row>
    <x:row r="113" ht="19.5" customHeight="1">
      <x:c r="A113" s="25"/>
      <x:c r="B113" s="18"/>
      <x:c r="C113" s="18"/>
      <x:c r="D113" s="18"/>
      <x:c r="E113" s="18"/>
      <x:c r="F113" s="19"/>
      <x:c r="G113" s="19"/>
      <x:c r="H113" s="19"/>
      <x:c r="I113" s="22"/>
    </x:row>
    <x:row r="114" ht="19.5" customHeight="1">
      <x:c r="A114" s="25"/>
      <x:c r="B114" s="18"/>
      <x:c r="C114" s="18"/>
      <x:c r="D114" s="18"/>
      <x:c r="E114" s="18"/>
      <x:c r="F114" s="19"/>
      <x:c r="G114" s="19"/>
      <x:c r="H114" s="19"/>
      <x:c r="I114" s="22"/>
    </x:row>
    <x:row r="115" ht="19.5" customHeight="1">
      <x:c r="A115" s="25"/>
      <x:c r="B115" s="18"/>
      <x:c r="C115" s="18"/>
      <x:c r="D115" s="18"/>
      <x:c r="E115" s="18"/>
      <x:c r="F115" s="19"/>
      <x:c r="G115" s="19"/>
      <x:c r="H115" s="19"/>
      <x:c r="I115" s="22"/>
    </x:row>
    <x:row r="116" ht="19.5" customHeight="1">
      <x:c r="A116" s="25"/>
      <x:c r="B116" s="18"/>
      <x:c r="C116" s="18"/>
      <x:c r="D116" s="18"/>
      <x:c r="E116" s="18"/>
      <x:c r="F116" s="19"/>
      <x:c r="G116" s="19"/>
      <x:c r="H116" s="19"/>
      <x:c r="I116" s="22"/>
    </x:row>
    <x:row r="117" ht="19.5" customHeight="1">
      <x:c r="A117" s="25"/>
      <x:c r="B117" s="18"/>
      <x:c r="C117" s="18"/>
      <x:c r="D117" s="18"/>
      <x:c r="E117" s="18"/>
      <x:c r="F117" s="19"/>
      <x:c r="G117" s="19"/>
      <x:c r="H117" s="19"/>
      <x:c r="I117" s="22"/>
    </x:row>
    <x:row r="118" ht="19.5" customHeight="1">
      <x:c r="A118" s="25"/>
      <x:c r="B118" s="18"/>
      <x:c r="C118" s="18"/>
      <x:c r="D118" s="18"/>
      <x:c r="E118" s="18"/>
      <x:c r="F118" s="19"/>
      <x:c r="G118" s="19"/>
      <x:c r="H118" s="19"/>
      <x:c r="I118" s="22"/>
    </x:row>
    <x:row r="119" ht="19.5" customHeight="1">
      <x:c r="A119" s="25"/>
      <x:c r="B119" s="18"/>
      <x:c r="C119" s="18"/>
      <x:c r="D119" s="18"/>
      <x:c r="E119" s="18"/>
      <x:c r="F119" s="19"/>
      <x:c r="G119" s="19"/>
      <x:c r="H119" s="19"/>
      <x:c r="I119" s="22"/>
    </x:row>
    <x:row r="120" ht="19.5" customHeight="1">
      <x:c r="A120" s="25"/>
      <x:c r="B120" s="18"/>
      <x:c r="C120" s="18"/>
      <x:c r="D120" s="18"/>
      <x:c r="E120" s="18"/>
      <x:c r="F120" s="19"/>
      <x:c r="G120" s="19"/>
      <x:c r="H120" s="19"/>
      <x:c r="I120" s="22"/>
    </x:row>
    <x:row r="121" ht="19.5" customHeight="1">
      <x:c r="A121" s="25"/>
      <x:c r="B121" s="18"/>
      <x:c r="C121" s="18"/>
      <x:c r="D121" s="18"/>
      <x:c r="E121" s="18"/>
      <x:c r="F121" s="19"/>
      <x:c r="G121" s="19"/>
      <x:c r="H121" s="19"/>
      <x:c r="I121" s="22"/>
    </x:row>
    <x:row r="122" ht="19.5" customHeight="1">
      <x:c r="A122" s="25"/>
      <x:c r="B122" s="18"/>
      <x:c r="C122" s="18"/>
      <x:c r="D122" s="18"/>
      <x:c r="E122" s="18"/>
      <x:c r="F122" s="19"/>
      <x:c r="G122" s="19"/>
      <x:c r="H122" s="19"/>
      <x:c r="I122" s="22"/>
    </x:row>
    <x:row r="123" ht="19.5" customHeight="1">
      <x:c r="A123" s="25"/>
      <x:c r="B123" s="18"/>
      <x:c r="C123" s="18"/>
      <x:c r="D123" s="18"/>
      <x:c r="E123" s="18"/>
      <x:c r="F123" s="19"/>
      <x:c r="G123" s="19"/>
      <x:c r="H123" s="19"/>
      <x:c r="I123" s="22"/>
    </x:row>
    <x:row r="124" ht="19.5" customHeight="1">
      <x:c r="A124" s="25"/>
      <x:c r="B124" s="18"/>
      <x:c r="C124" s="18"/>
      <x:c r="D124" s="18"/>
      <x:c r="E124" s="18"/>
      <x:c r="F124" s="19"/>
      <x:c r="G124" s="19"/>
      <x:c r="H124" s="19"/>
      <x:c r="I124" s="22"/>
    </x:row>
    <x:row r="125" ht="19.5" customHeight="1">
      <x:c r="A125" s="25"/>
      <x:c r="B125" s="18"/>
      <x:c r="C125" s="18"/>
      <x:c r="D125" s="18"/>
      <x:c r="E125" s="18"/>
      <x:c r="F125" s="19"/>
      <x:c r="G125" s="19"/>
      <x:c r="H125" s="19"/>
      <x:c r="I125" s="22"/>
    </x:row>
    <x:row r="126" ht="19.5" customHeight="1">
      <x:c r="A126" s="25"/>
      <x:c r="B126" s="18"/>
      <x:c r="C126" s="18"/>
      <x:c r="D126" s="18"/>
      <x:c r="E126" s="18"/>
      <x:c r="F126" s="19"/>
      <x:c r="G126" s="19"/>
      <x:c r="H126" s="19"/>
      <x:c r="I126" s="22"/>
    </x:row>
    <x:row r="127" ht="19.5" customHeight="1">
      <x:c r="A127" s="25"/>
      <x:c r="B127" s="18"/>
      <x:c r="C127" s="18"/>
      <x:c r="D127" s="18"/>
      <x:c r="E127" s="18"/>
      <x:c r="F127" s="19"/>
      <x:c r="G127" s="19"/>
      <x:c r="H127" s="19"/>
      <x:c r="I127" s="22"/>
    </x:row>
    <x:row r="128" ht="19.5" customHeight="1">
      <x:c r="A128" s="25"/>
      <x:c r="B128" s="18"/>
      <x:c r="C128" s="18"/>
      <x:c r="D128" s="18"/>
      <x:c r="E128" s="18"/>
      <x:c r="F128" s="19"/>
      <x:c r="G128" s="19"/>
      <x:c r="H128" s="19"/>
      <x:c r="I128" s="22"/>
    </x:row>
    <x:row r="129" ht="19.5" customHeight="1">
      <x:c r="A129" s="25"/>
      <x:c r="B129" s="18"/>
      <x:c r="C129" s="18"/>
      <x:c r="D129" s="18"/>
      <x:c r="E129" s="18"/>
      <x:c r="F129" s="19"/>
      <x:c r="G129" s="19"/>
      <x:c r="H129" s="19"/>
      <x:c r="I129" s="22"/>
    </x:row>
    <x:row r="130" ht="19.5" customHeight="1">
      <x:c r="A130" s="25"/>
      <x:c r="B130" s="18"/>
      <x:c r="C130" s="18"/>
      <x:c r="D130" s="18"/>
      <x:c r="E130" s="18"/>
      <x:c r="F130" s="19"/>
      <x:c r="G130" s="19"/>
      <x:c r="H130" s="19"/>
      <x:c r="I130" s="22"/>
    </x:row>
    <x:row r="131" ht="19.5" customHeight="1">
      <x:c r="A131" s="25"/>
      <x:c r="B131" s="18"/>
      <x:c r="C131" s="18"/>
      <x:c r="D131" s="18"/>
      <x:c r="E131" s="18"/>
      <x:c r="F131" s="19"/>
      <x:c r="G131" s="19"/>
      <x:c r="H131" s="19"/>
      <x:c r="I131" s="22"/>
    </x:row>
    <x:row r="132" ht="19.5" customHeight="1">
      <x:c r="A132" s="25"/>
      <x:c r="B132" s="18"/>
      <x:c r="C132" s="18"/>
      <x:c r="D132" s="18"/>
      <x:c r="E132" s="18"/>
      <x:c r="F132" s="19"/>
      <x:c r="G132" s="19"/>
      <x:c r="H132" s="19"/>
      <x:c r="I132" s="22"/>
    </x:row>
    <x:row r="133" ht="19.5" customHeight="1">
      <x:c r="A133" s="25"/>
      <x:c r="B133" s="18"/>
      <x:c r="C133" s="18"/>
      <x:c r="D133" s="18"/>
      <x:c r="E133" s="18"/>
      <x:c r="F133" s="19"/>
      <x:c r="G133" s="19"/>
      <x:c r="H133" s="19"/>
      <x:c r="I133" s="22"/>
    </x:row>
    <x:row r="134" ht="19.5" customHeight="1">
      <x:c r="A134" s="25"/>
      <x:c r="B134" s="18"/>
      <x:c r="C134" s="18"/>
      <x:c r="D134" s="18"/>
      <x:c r="E134" s="18"/>
      <x:c r="F134" s="19"/>
      <x:c r="G134" s="19"/>
      <x:c r="H134" s="19"/>
      <x:c r="I134" s="22"/>
    </x:row>
    <x:row r="135" ht="19.5" customHeight="1">
      <x:c r="A135" s="25"/>
      <x:c r="B135" s="18"/>
      <x:c r="C135" s="18"/>
      <x:c r="D135" s="18"/>
      <x:c r="E135" s="18"/>
      <x:c r="F135" s="19"/>
      <x:c r="G135" s="19"/>
      <x:c r="H135" s="19"/>
      <x:c r="I135" s="22"/>
    </x:row>
    <x:row r="136" ht="19.5" customHeight="1">
      <x:c r="A136" s="25"/>
      <x:c r="B136" s="18"/>
      <x:c r="C136" s="18"/>
      <x:c r="D136" s="18"/>
      <x:c r="E136" s="18"/>
      <x:c r="F136" s="19"/>
      <x:c r="G136" s="19"/>
      <x:c r="H136" s="19"/>
      <x:c r="I136" s="22"/>
    </x:row>
    <x:row r="137" ht="19.5" customHeight="1">
      <x:c r="A137" s="25"/>
      <x:c r="B137" s="18"/>
      <x:c r="C137" s="18"/>
      <x:c r="D137" s="18"/>
      <x:c r="E137" s="18"/>
      <x:c r="F137" s="19"/>
      <x:c r="G137" s="19"/>
      <x:c r="H137" s="19"/>
      <x:c r="I137" s="22"/>
    </x:row>
    <x:row r="138" ht="19.5" customHeight="1">
      <x:c r="A138" s="25"/>
      <x:c r="B138" s="18"/>
      <x:c r="C138" s="18"/>
      <x:c r="D138" s="18"/>
      <x:c r="E138" s="18"/>
      <x:c r="F138" s="19"/>
      <x:c r="G138" s="19"/>
      <x:c r="H138" s="19"/>
      <x:c r="I138" s="22"/>
    </x:row>
    <x:row r="139" ht="19.5" customHeight="1">
      <x:c r="A139" s="25"/>
      <x:c r="B139" s="18"/>
      <x:c r="C139" s="18"/>
      <x:c r="D139" s="18"/>
      <x:c r="E139" s="18"/>
      <x:c r="F139" s="19"/>
      <x:c r="G139" s="19"/>
      <x:c r="H139" s="19"/>
      <x:c r="I139" s="22"/>
    </x:row>
    <x:row r="140" ht="19.5" customHeight="1">
      <x:c r="A140" s="25"/>
      <x:c r="B140" s="18"/>
      <x:c r="C140" s="18"/>
      <x:c r="D140" s="18"/>
      <x:c r="E140" s="18"/>
      <x:c r="F140" s="19"/>
      <x:c r="G140" s="19"/>
      <x:c r="H140" s="19"/>
      <x:c r="I140" s="22"/>
    </x:row>
    <x:row r="141" ht="19.5" customHeight="1">
      <x:c r="A141" s="25"/>
      <x:c r="B141" s="18"/>
      <x:c r="C141" s="18"/>
      <x:c r="D141" s="18"/>
      <x:c r="E141" s="18"/>
      <x:c r="F141" s="19"/>
      <x:c r="G141" s="19"/>
      <x:c r="H141" s="19"/>
      <x:c r="I141" s="22"/>
    </x:row>
    <x:row r="142" ht="19.5" customHeight="1">
      <x:c r="A142" s="25"/>
      <x:c r="B142" s="18"/>
      <x:c r="C142" s="18"/>
      <x:c r="D142" s="18"/>
      <x:c r="E142" s="18"/>
      <x:c r="F142" s="19"/>
      <x:c r="G142" s="19"/>
      <x:c r="H142" s="19"/>
      <x:c r="I142" s="22"/>
    </x:row>
    <x:row r="143" ht="19.5" customHeight="1">
      <x:c r="A143" s="25"/>
      <x:c r="B143" s="18"/>
      <x:c r="C143" s="18"/>
      <x:c r="D143" s="18"/>
      <x:c r="E143" s="18"/>
      <x:c r="F143" s="19"/>
      <x:c r="G143" s="19"/>
      <x:c r="H143" s="19"/>
      <x:c r="I143" s="22"/>
    </x:row>
    <x:row r="144" ht="19.5" customHeight="1">
      <x:c r="A144" s="25"/>
      <x:c r="B144" s="18"/>
      <x:c r="C144" s="18"/>
      <x:c r="D144" s="18"/>
      <x:c r="E144" s="18"/>
      <x:c r="F144" s="19"/>
      <x:c r="G144" s="19"/>
      <x:c r="H144" s="19"/>
      <x:c r="I144" s="22"/>
    </x:row>
    <x:row r="145" ht="19.5" customHeight="1">
      <x:c r="A145" s="25"/>
      <x:c r="B145" s="18"/>
      <x:c r="C145" s="18"/>
      <x:c r="D145" s="18"/>
      <x:c r="E145" s="18"/>
      <x:c r="F145" s="19"/>
      <x:c r="G145" s="19"/>
      <x:c r="H145" s="19"/>
      <x:c r="I145" s="22"/>
    </x:row>
    <x:row r="146" ht="19.5" customHeight="1">
      <x:c r="A146" s="25"/>
      <x:c r="B146" s="18"/>
      <x:c r="C146" s="18"/>
      <x:c r="D146" s="18"/>
      <x:c r="E146" s="18"/>
      <x:c r="F146" s="19"/>
      <x:c r="G146" s="19"/>
      <x:c r="H146" s="19"/>
      <x:c r="I146" s="22"/>
    </x:row>
    <x:row r="147" ht="19.5" customHeight="1">
      <x:c r="A147" s="25"/>
      <x:c r="B147" s="18"/>
      <x:c r="C147" s="18"/>
      <x:c r="D147" s="18"/>
      <x:c r="E147" s="18"/>
      <x:c r="F147" s="19"/>
      <x:c r="G147" s="19"/>
      <x:c r="H147" s="19"/>
      <x:c r="I147" s="22"/>
    </x:row>
    <x:row r="148" ht="19.5" customHeight="1">
      <x:c r="A148" s="25"/>
      <x:c r="B148" s="18"/>
      <x:c r="C148" s="18"/>
      <x:c r="D148" s="18"/>
      <x:c r="E148" s="18"/>
      <x:c r="F148" s="19"/>
      <x:c r="G148" s="19"/>
      <x:c r="H148" s="19"/>
      <x:c r="I148" s="22"/>
    </x:row>
    <x:row r="149" ht="19.5" customHeight="1">
      <x:c r="A149" s="25"/>
      <x:c r="B149" s="18"/>
      <x:c r="C149" s="18"/>
      <x:c r="D149" s="18"/>
      <x:c r="E149" s="18"/>
      <x:c r="F149" s="19"/>
      <x:c r="G149" s="19"/>
      <x:c r="H149" s="19"/>
      <x:c r="I149" s="22"/>
    </x:row>
    <x:row r="150" ht="19.5" customHeight="1">
      <x:c r="A150" s="25"/>
      <x:c r="B150" s="18"/>
      <x:c r="C150" s="18"/>
      <x:c r="D150" s="18"/>
      <x:c r="E150" s="18"/>
      <x:c r="F150" s="19"/>
      <x:c r="G150" s="19"/>
      <x:c r="H150" s="19"/>
      <x:c r="I150" s="22"/>
    </x:row>
    <x:row r="151" ht="19.5" customHeight="1">
      <x:c r="A151" s="25"/>
      <x:c r="B151" s="18"/>
      <x:c r="C151" s="18"/>
      <x:c r="D151" s="18"/>
      <x:c r="E151" s="18"/>
      <x:c r="F151" s="19"/>
      <x:c r="G151" s="19"/>
      <x:c r="H151" s="19"/>
      <x:c r="I151" s="22"/>
    </x:row>
    <x:row r="152" ht="19.5" customHeight="1">
      <x:c r="A152" s="25"/>
      <x:c r="B152" s="18"/>
      <x:c r="C152" s="18"/>
      <x:c r="D152" s="18"/>
      <x:c r="E152" s="18"/>
      <x:c r="F152" s="19"/>
      <x:c r="G152" s="19"/>
      <x:c r="H152" s="19"/>
      <x:c r="I152" s="22"/>
    </x:row>
    <x:row r="153" ht="19.5" customHeight="1">
      <x:c r="A153" s="25"/>
      <x:c r="B153" s="18"/>
      <x:c r="C153" s="18"/>
      <x:c r="D153" s="18"/>
      <x:c r="E153" s="18"/>
      <x:c r="F153" s="19"/>
      <x:c r="G153" s="19"/>
      <x:c r="H153" s="19"/>
      <x:c r="I153" s="22"/>
    </x:row>
    <x:row r="154" ht="19.5" customHeight="1">
      <x:c r="A154" s="25"/>
      <x:c r="B154" s="18"/>
      <x:c r="C154" s="18"/>
      <x:c r="D154" s="18"/>
      <x:c r="E154" s="18"/>
      <x:c r="F154" s="19"/>
      <x:c r="G154" s="19"/>
      <x:c r="H154" s="19"/>
      <x:c r="I154" s="22"/>
    </x:row>
    <x:row r="155" ht="19.5" customHeight="1">
      <x:c r="A155" s="25"/>
      <x:c r="B155" s="18"/>
      <x:c r="C155" s="18"/>
      <x:c r="D155" s="18"/>
      <x:c r="E155" s="18"/>
      <x:c r="F155" s="19"/>
      <x:c r="G155" s="19"/>
      <x:c r="H155" s="19"/>
      <x:c r="I155" s="22"/>
    </x:row>
    <x:row r="156" ht="19.5" customHeight="1">
      <x:c r="A156" s="25"/>
      <x:c r="B156" s="18"/>
      <x:c r="C156" s="18"/>
      <x:c r="D156" s="18"/>
      <x:c r="E156" s="18"/>
      <x:c r="F156" s="19"/>
      <x:c r="G156" s="19"/>
      <x:c r="H156" s="19"/>
      <x:c r="I156" s="22"/>
    </x:row>
    <x:row r="157" ht="19.5" customHeight="1">
      <x:c r="A157" s="25"/>
      <x:c r="B157" s="18"/>
      <x:c r="C157" s="18"/>
      <x:c r="D157" s="18"/>
      <x:c r="E157" s="18"/>
      <x:c r="F157" s="19"/>
      <x:c r="G157" s="19"/>
      <x:c r="H157" s="19"/>
      <x:c r="I157" s="22"/>
    </x:row>
    <x:row r="158" ht="19.5" customHeight="1">
      <x:c r="A158" s="25"/>
      <x:c r="B158" s="18"/>
      <x:c r="C158" s="18"/>
      <x:c r="D158" s="18"/>
      <x:c r="E158" s="18"/>
      <x:c r="F158" s="19"/>
      <x:c r="G158" s="19"/>
      <x:c r="H158" s="19"/>
      <x:c r="I158" s="22"/>
    </x:row>
    <x:row r="159" ht="19.5" customHeight="1">
      <x:c r="A159" s="25"/>
      <x:c r="B159" s="18"/>
      <x:c r="C159" s="18"/>
      <x:c r="D159" s="18"/>
      <x:c r="E159" s="18"/>
      <x:c r="F159" s="19"/>
      <x:c r="G159" s="19"/>
      <x:c r="H159" s="19"/>
      <x:c r="I159" s="22"/>
    </x:row>
    <x:row r="160" ht="19.5" customHeight="1">
      <x:c r="A160" s="25"/>
      <x:c r="B160" s="18"/>
      <x:c r="C160" s="18"/>
      <x:c r="D160" s="18"/>
      <x:c r="E160" s="18"/>
      <x:c r="F160" s="19"/>
      <x:c r="G160" s="19"/>
      <x:c r="H160" s="19"/>
      <x:c r="I160" s="22"/>
    </x:row>
    <x:row r="161" ht="19.5" customHeight="1">
      <x:c r="A161" s="25"/>
      <x:c r="B161" s="18"/>
      <x:c r="C161" s="18"/>
      <x:c r="D161" s="18"/>
      <x:c r="E161" s="18"/>
      <x:c r="F161" s="19"/>
      <x:c r="G161" s="19"/>
      <x:c r="H161" s="19"/>
      <x:c r="I161" s="22"/>
    </x:row>
    <x:row r="162" ht="19.5" customHeight="1">
      <x:c r="A162" s="25"/>
      <x:c r="B162" s="18"/>
      <x:c r="C162" s="18"/>
      <x:c r="D162" s="18"/>
      <x:c r="E162" s="18"/>
      <x:c r="F162" s="19"/>
      <x:c r="G162" s="19"/>
      <x:c r="H162" s="19"/>
      <x:c r="I162" s="22"/>
    </x:row>
    <x:row r="163" ht="19.5" customHeight="1">
      <x:c r="A163" s="25"/>
      <x:c r="B163" s="18"/>
      <x:c r="C163" s="18"/>
      <x:c r="D163" s="18"/>
      <x:c r="E163" s="18"/>
      <x:c r="F163" s="19"/>
      <x:c r="G163" s="19"/>
      <x:c r="H163" s="19"/>
      <x:c r="I163" s="22"/>
    </x:row>
    <x:row r="164" ht="19.5" customHeight="1">
      <x:c r="A164" s="25"/>
      <x:c r="B164" s="18"/>
      <x:c r="C164" s="18"/>
      <x:c r="D164" s="18"/>
      <x:c r="E164" s="18"/>
      <x:c r="F164" s="19"/>
      <x:c r="G164" s="19"/>
      <x:c r="H164" s="19"/>
      <x:c r="I164" s="22"/>
    </x:row>
    <x:row r="165" ht="19.5" customHeight="1">
      <x:c r="A165" s="25"/>
      <x:c r="B165" s="18"/>
      <x:c r="C165" s="18"/>
      <x:c r="D165" s="18"/>
      <x:c r="E165" s="18"/>
      <x:c r="F165" s="19"/>
      <x:c r="G165" s="19"/>
      <x:c r="H165" s="19"/>
      <x:c r="I165" s="22"/>
    </x:row>
    <x:row r="166" ht="19.5" customHeight="1">
      <x:c r="A166" s="25"/>
      <x:c r="B166" s="18"/>
      <x:c r="C166" s="18"/>
      <x:c r="D166" s="18"/>
      <x:c r="E166" s="18"/>
      <x:c r="F166" s="19"/>
      <x:c r="G166" s="19"/>
      <x:c r="H166" s="19"/>
      <x:c r="I166" s="22"/>
    </x:row>
    <x:row r="167" ht="19.5" customHeight="1">
      <x:c r="A167" s="25"/>
      <x:c r="B167" s="18"/>
      <x:c r="C167" s="18"/>
      <x:c r="D167" s="18"/>
      <x:c r="E167" s="18"/>
      <x:c r="F167" s="19"/>
      <x:c r="G167" s="19"/>
      <x:c r="H167" s="19"/>
      <x:c r="I167" s="22"/>
    </x:row>
    <x:row r="168" ht="19.5" customHeight="1">
      <x:c r="A168" s="25"/>
      <x:c r="B168" s="18"/>
      <x:c r="C168" s="18"/>
      <x:c r="D168" s="18"/>
      <x:c r="E168" s="18"/>
      <x:c r="F168" s="19"/>
      <x:c r="G168" s="19"/>
      <x:c r="H168" s="19"/>
      <x:c r="I168" s="22"/>
    </x:row>
    <x:row r="169" ht="19.5" customHeight="1">
      <x:c r="A169" s="25"/>
      <x:c r="B169" s="18"/>
      <x:c r="C169" s="18"/>
      <x:c r="D169" s="18"/>
      <x:c r="E169" s="18"/>
      <x:c r="F169" s="19"/>
      <x:c r="G169" s="19"/>
      <x:c r="H169" s="19"/>
      <x:c r="I169" s="22"/>
    </x:row>
    <x:row r="170" ht="19.5" customHeight="1">
      <x:c r="A170" s="25"/>
      <x:c r="B170" s="18"/>
      <x:c r="C170" s="18"/>
      <x:c r="D170" s="18"/>
      <x:c r="E170" s="18"/>
      <x:c r="F170" s="19"/>
      <x:c r="G170" s="19"/>
      <x:c r="H170" s="19"/>
      <x:c r="I170" s="22"/>
    </x:row>
    <x:row r="171" ht="19.5" customHeight="1">
      <x:c r="A171" s="25"/>
      <x:c r="B171" s="18"/>
      <x:c r="C171" s="18"/>
      <x:c r="D171" s="18"/>
      <x:c r="E171" s="18"/>
      <x:c r="F171" s="19"/>
      <x:c r="G171" s="19"/>
      <x:c r="H171" s="19"/>
      <x:c r="I171" s="22"/>
    </x:row>
    <x:row r="172" ht="19.5" customHeight="1">
      <x:c r="A172" s="25"/>
      <x:c r="B172" s="18"/>
      <x:c r="C172" s="18"/>
      <x:c r="D172" s="18"/>
      <x:c r="E172" s="18"/>
      <x:c r="F172" s="19"/>
      <x:c r="G172" s="19"/>
      <x:c r="H172" s="19"/>
      <x:c r="I172" s="22"/>
    </x:row>
    <x:row r="173" ht="19.5" customHeight="1">
      <x:c r="A173" s="25"/>
      <x:c r="B173" s="18"/>
      <x:c r="C173" s="18"/>
      <x:c r="D173" s="18"/>
      <x:c r="E173" s="18"/>
      <x:c r="F173" s="19"/>
      <x:c r="G173" s="19"/>
      <x:c r="H173" s="19"/>
      <x:c r="I173" s="22"/>
    </x:row>
    <x:row r="174" ht="19.5" customHeight="1">
      <x:c r="A174" s="25"/>
      <x:c r="B174" s="18"/>
      <x:c r="C174" s="18"/>
      <x:c r="D174" s="18"/>
      <x:c r="E174" s="18"/>
      <x:c r="F174" s="19"/>
      <x:c r="G174" s="19"/>
      <x:c r="H174" s="19"/>
      <x:c r="I174" s="22"/>
    </x:row>
    <x:row r="175" ht="19.5" customHeight="1">
      <x:c r="A175" s="25"/>
      <x:c r="B175" s="18"/>
      <x:c r="C175" s="18"/>
      <x:c r="D175" s="18"/>
      <x:c r="E175" s="18"/>
      <x:c r="F175" s="19"/>
      <x:c r="G175" s="19"/>
      <x:c r="H175" s="19"/>
      <x:c r="I175" s="22"/>
    </x:row>
    <x:row r="176" ht="19.5" customHeight="1">
      <x:c r="A176" s="25"/>
      <x:c r="B176" s="18"/>
      <x:c r="C176" s="18"/>
      <x:c r="D176" s="18"/>
      <x:c r="E176" s="18"/>
      <x:c r="F176" s="19"/>
      <x:c r="G176" s="19"/>
      <x:c r="H176" s="19"/>
      <x:c r="I176" s="22"/>
    </x:row>
    <x:row r="177" ht="19.5" customHeight="1">
      <x:c r="A177" s="25"/>
      <x:c r="B177" s="18"/>
      <x:c r="C177" s="18"/>
      <x:c r="D177" s="18"/>
      <x:c r="E177" s="18"/>
      <x:c r="F177" s="19"/>
      <x:c r="G177" s="19"/>
      <x:c r="H177" s="19"/>
      <x:c r="I177" s="22"/>
    </x:row>
    <x:row r="178" ht="19.5" customHeight="1">
      <x:c r="A178" s="25"/>
      <x:c r="B178" s="18"/>
      <x:c r="C178" s="18"/>
      <x:c r="D178" s="18"/>
      <x:c r="E178" s="18"/>
      <x:c r="F178" s="19"/>
      <x:c r="G178" s="19"/>
      <x:c r="H178" s="19"/>
      <x:c r="I178" s="22"/>
    </x:row>
    <x:row r="179" ht="19.5" customHeight="1">
      <x:c r="A179" s="25"/>
      <x:c r="B179" s="18"/>
      <x:c r="C179" s="18"/>
      <x:c r="D179" s="18"/>
      <x:c r="E179" s="18"/>
      <x:c r="F179" s="19"/>
      <x:c r="G179" s="19"/>
      <x:c r="H179" s="19"/>
      <x:c r="I179" s="22"/>
    </x:row>
    <x:row r="180" ht="19.5" customHeight="1">
      <x:c r="A180" s="25"/>
      <x:c r="B180" s="18"/>
      <x:c r="C180" s="18"/>
      <x:c r="D180" s="18"/>
      <x:c r="E180" s="18"/>
      <x:c r="F180" s="19"/>
      <x:c r="G180" s="19"/>
      <x:c r="H180" s="19"/>
      <x:c r="I180" s="22"/>
    </x:row>
    <x:row r="181" ht="19.5" customHeight="1">
      <x:c r="A181" s="25"/>
      <x:c r="B181" s="18"/>
      <x:c r="C181" s="18"/>
      <x:c r="D181" s="18"/>
      <x:c r="E181" s="18"/>
      <x:c r="F181" s="19"/>
      <x:c r="G181" s="19"/>
      <x:c r="H181" s="19"/>
      <x:c r="I181" s="22"/>
    </x:row>
    <x:row r="182" ht="19.5" customHeight="1">
      <x:c r="A182" s="25"/>
      <x:c r="B182" s="18"/>
      <x:c r="C182" s="18"/>
      <x:c r="D182" s="18"/>
      <x:c r="E182" s="18"/>
      <x:c r="F182" s="19"/>
      <x:c r="G182" s="19"/>
      <x:c r="H182" s="19"/>
      <x:c r="I182" s="22"/>
    </x:row>
    <x:row r="183" ht="19.5" customHeight="1">
      <x:c r="A183" s="25"/>
      <x:c r="B183" s="18"/>
      <x:c r="C183" s="18"/>
      <x:c r="D183" s="18"/>
      <x:c r="E183" s="18"/>
      <x:c r="F183" s="19"/>
      <x:c r="G183" s="19"/>
      <x:c r="H183" s="19"/>
      <x:c r="I183" s="22"/>
    </x:row>
    <x:row r="184" ht="19.5" customHeight="1">
      <x:c r="A184" s="25"/>
      <x:c r="B184" s="18"/>
      <x:c r="C184" s="18"/>
      <x:c r="D184" s="18"/>
      <x:c r="E184" s="18"/>
      <x:c r="F184" s="19"/>
      <x:c r="G184" s="19"/>
      <x:c r="H184" s="19"/>
      <x:c r="I184" s="22"/>
    </x:row>
    <x:row r="185" ht="19.5" customHeight="1">
      <x:c r="A185" s="25"/>
      <x:c r="B185" s="18"/>
      <x:c r="C185" s="18"/>
      <x:c r="D185" s="18"/>
      <x:c r="E185" s="18"/>
      <x:c r="F185" s="19"/>
      <x:c r="G185" s="19"/>
      <x:c r="H185" s="19"/>
      <x:c r="I185" s="22"/>
    </x:row>
    <x:row r="186" ht="19.5" customHeight="1">
      <x:c r="A186" s="25"/>
      <x:c r="B186" s="18"/>
      <x:c r="C186" s="18"/>
      <x:c r="D186" s="18"/>
      <x:c r="E186" s="18"/>
      <x:c r="F186" s="19"/>
      <x:c r="G186" s="19"/>
      <x:c r="H186" s="19"/>
      <x:c r="I186" s="22"/>
    </x:row>
    <x:row r="187" ht="19.5" customHeight="1">
      <x:c r="A187" s="25"/>
      <x:c r="B187" s="18"/>
      <x:c r="C187" s="18"/>
      <x:c r="D187" s="18"/>
      <x:c r="E187" s="18"/>
      <x:c r="F187" s="19"/>
      <x:c r="G187" s="19"/>
      <x:c r="H187" s="19"/>
      <x:c r="I187" s="22"/>
    </x:row>
    <x:row r="188" ht="19.5" customHeight="1">
      <x:c r="A188" s="25"/>
      <x:c r="B188" s="18"/>
      <x:c r="C188" s="18"/>
      <x:c r="D188" s="18"/>
      <x:c r="E188" s="18"/>
      <x:c r="F188" s="19"/>
      <x:c r="G188" s="19"/>
      <x:c r="H188" s="19"/>
      <x:c r="I188" s="22"/>
    </x:row>
    <x:row r="189" ht="19.5" customHeight="1">
      <x:c r="A189" s="25"/>
      <x:c r="B189" s="18"/>
      <x:c r="C189" s="18"/>
      <x:c r="D189" s="18"/>
      <x:c r="E189" s="18"/>
      <x:c r="F189" s="19"/>
      <x:c r="G189" s="19"/>
      <x:c r="H189" s="19"/>
      <x:c r="I189" s="22"/>
    </x:row>
    <x:row r="190" ht="19.5" customHeight="1">
      <x:c r="A190" s="25"/>
      <x:c r="B190" s="18"/>
      <x:c r="C190" s="18"/>
      <x:c r="D190" s="18"/>
      <x:c r="E190" s="18"/>
      <x:c r="F190" s="19"/>
      <x:c r="G190" s="19"/>
      <x:c r="H190" s="19"/>
      <x:c r="I190" s="22"/>
    </x:row>
    <x:row r="191" ht="19.5" customHeight="1">
      <x:c r="A191" s="25"/>
      <x:c r="B191" s="18"/>
      <x:c r="C191" s="18"/>
      <x:c r="D191" s="18"/>
      <x:c r="E191" s="18"/>
      <x:c r="F191" s="19"/>
      <x:c r="G191" s="19"/>
      <x:c r="H191" s="19"/>
      <x:c r="I191" s="22"/>
    </x:row>
    <x:row r="192" ht="19.5" customHeight="1">
      <x:c r="A192" s="25"/>
      <x:c r="B192" s="18"/>
      <x:c r="C192" s="18"/>
      <x:c r="D192" s="18"/>
      <x:c r="E192" s="18"/>
      <x:c r="F192" s="19"/>
      <x:c r="G192" s="19"/>
      <x:c r="H192" s="19"/>
      <x:c r="I192" s="22"/>
    </x:row>
    <x:row r="193" ht="19.5" customHeight="1">
      <x:c r="A193" s="25"/>
      <x:c r="B193" s="18"/>
      <x:c r="C193" s="18"/>
      <x:c r="D193" s="18"/>
      <x:c r="E193" s="18"/>
      <x:c r="F193" s="19"/>
      <x:c r="G193" s="19"/>
      <x:c r="H193" s="19"/>
      <x:c r="I193" s="22"/>
    </x:row>
    <x:row r="194" ht="19.5" customHeight="1">
      <x:c r="A194" s="25"/>
      <x:c r="B194" s="18"/>
      <x:c r="C194" s="18"/>
      <x:c r="D194" s="18"/>
      <x:c r="E194" s="18"/>
      <x:c r="F194" s="19"/>
      <x:c r="G194" s="19"/>
      <x:c r="H194" s="19"/>
      <x:c r="I194" s="22"/>
    </x:row>
    <x:row r="195" ht="19.5" customHeight="1">
      <x:c r="A195" s="25"/>
      <x:c r="B195" s="18"/>
      <x:c r="C195" s="18"/>
      <x:c r="D195" s="18"/>
      <x:c r="E195" s="18"/>
      <x:c r="F195" s="19"/>
      <x:c r="G195" s="19"/>
      <x:c r="H195" s="19"/>
      <x:c r="I195" s="22"/>
    </x:row>
    <x:row r="196" ht="19.5" customHeight="1">
      <x:c r="A196" s="25"/>
      <x:c r="B196" s="18"/>
      <x:c r="C196" s="18"/>
      <x:c r="D196" s="18"/>
      <x:c r="E196" s="18"/>
      <x:c r="F196" s="19"/>
      <x:c r="G196" s="19"/>
      <x:c r="H196" s="19"/>
      <x:c r="I196" s="22"/>
    </x:row>
    <x:row r="197" ht="19.5" customHeight="1">
      <x:c r="A197" s="25"/>
      <x:c r="B197" s="18"/>
      <x:c r="C197" s="18"/>
      <x:c r="D197" s="18"/>
      <x:c r="E197" s="18"/>
      <x:c r="F197" s="19"/>
      <x:c r="G197" s="19"/>
      <x:c r="H197" s="19"/>
      <x:c r="I197" s="22"/>
    </x:row>
    <x:row r="198" ht="19.5" customHeight="1">
      <x:c r="A198" s="25"/>
      <x:c r="B198" s="18"/>
      <x:c r="C198" s="18"/>
      <x:c r="D198" s="18"/>
      <x:c r="E198" s="18"/>
      <x:c r="F198" s="19"/>
      <x:c r="G198" s="19"/>
      <x:c r="H198" s="19"/>
      <x:c r="I198" s="22"/>
    </x:row>
    <x:row r="199" ht="19.5" customHeight="1">
      <x:c r="A199" s="25"/>
      <x:c r="B199" s="18"/>
      <x:c r="C199" s="18"/>
      <x:c r="D199" s="18"/>
      <x:c r="E199" s="18"/>
      <x:c r="F199" s="19"/>
      <x:c r="G199" s="19"/>
      <x:c r="H199" s="19"/>
      <x:c r="I199" s="22"/>
    </x:row>
    <x:row r="200" ht="19.5" customHeight="1">
      <x:c r="A200" s="25"/>
      <x:c r="B200" s="18"/>
      <x:c r="C200" s="18"/>
      <x:c r="D200" s="18"/>
      <x:c r="E200" s="18"/>
      <x:c r="F200" s="19"/>
      <x:c r="G200" s="19"/>
      <x:c r="H200" s="19"/>
      <x:c r="I200" s="22"/>
    </x:row>
    <x:row r="201" ht="19.5" customHeight="1">
      <x:c r="A201" s="25"/>
      <x:c r="B201" s="18"/>
      <x:c r="C201" s="18"/>
      <x:c r="D201" s="18"/>
      <x:c r="E201" s="18"/>
      <x:c r="F201" s="19"/>
      <x:c r="G201" s="19"/>
      <x:c r="H201" s="19"/>
      <x:c r="I201" s="22"/>
    </x:row>
    <x:row r="202" ht="19.5" customHeight="1">
      <x:c r="A202" s="25"/>
      <x:c r="B202" s="18"/>
      <x:c r="C202" s="18"/>
      <x:c r="D202" s="18"/>
      <x:c r="E202" s="18"/>
      <x:c r="F202" s="19"/>
      <x:c r="G202" s="19"/>
      <x:c r="H202" s="19"/>
      <x:c r="I202" s="22"/>
    </x:row>
    <x:row r="203" ht="19.5" customHeight="1">
      <x:c r="A203" s="25"/>
      <x:c r="B203" s="18"/>
      <x:c r="C203" s="18"/>
      <x:c r="D203" s="18"/>
      <x:c r="E203" s="18"/>
      <x:c r="F203" s="19"/>
      <x:c r="G203" s="19"/>
      <x:c r="H203" s="19"/>
      <x:c r="I203" s="22"/>
    </x:row>
    <x:row r="204" ht="19.5" customHeight="1">
      <x:c r="A204" s="25"/>
      <x:c r="B204" s="18"/>
      <x:c r="C204" s="18"/>
      <x:c r="D204" s="18"/>
      <x:c r="E204" s="18"/>
      <x:c r="F204" s="19"/>
      <x:c r="G204" s="19"/>
      <x:c r="H204" s="19"/>
      <x:c r="I204" s="22"/>
    </x:row>
    <x:row r="205" ht="19.5" customHeight="1">
      <x:c r="A205" s="25"/>
      <x:c r="B205" s="18"/>
      <x:c r="C205" s="18"/>
      <x:c r="D205" s="18"/>
      <x:c r="E205" s="18"/>
      <x:c r="F205" s="19"/>
      <x:c r="G205" s="19"/>
      <x:c r="H205" s="19"/>
      <x:c r="I205" s="22"/>
    </x:row>
    <x:row r="206" ht="19.5" customHeight="1">
      <x:c r="A206" s="25"/>
      <x:c r="B206" s="18"/>
      <x:c r="C206" s="18"/>
      <x:c r="D206" s="18"/>
      <x:c r="E206" s="18"/>
      <x:c r="F206" s="19"/>
      <x:c r="G206" s="19"/>
      <x:c r="H206" s="19"/>
      <x:c r="I206" s="22"/>
    </x:row>
    <x:row r="207" ht="19.5" customHeight="1">
      <x:c r="A207" s="25"/>
      <x:c r="B207" s="18"/>
      <x:c r="C207" s="18"/>
      <x:c r="D207" s="18"/>
      <x:c r="E207" s="18"/>
      <x:c r="F207" s="19"/>
      <x:c r="G207" s="19"/>
      <x:c r="H207" s="19"/>
      <x:c r="I207" s="22"/>
    </x:row>
    <x:row r="208" ht="19.5" customHeight="1">
      <x:c r="A208" s="25"/>
      <x:c r="B208" s="18"/>
      <x:c r="C208" s="18"/>
      <x:c r="D208" s="18"/>
      <x:c r="E208" s="18"/>
      <x:c r="F208" s="19"/>
      <x:c r="G208" s="19"/>
      <x:c r="H208" s="19"/>
      <x:c r="I208" s="22"/>
    </x:row>
    <x:row r="209" ht="19.5" customHeight="1">
      <x:c r="A209" s="25"/>
      <x:c r="B209" s="18"/>
      <x:c r="C209" s="18"/>
      <x:c r="D209" s="18"/>
      <x:c r="E209" s="18"/>
      <x:c r="F209" s="19"/>
      <x:c r="G209" s="19"/>
      <x:c r="H209" s="19"/>
      <x:c r="I209" s="22"/>
    </x:row>
    <x:row r="210" ht="19.5" customHeight="1">
      <x:c r="A210" s="25"/>
      <x:c r="B210" s="18"/>
      <x:c r="C210" s="18"/>
      <x:c r="D210" s="18"/>
      <x:c r="E210" s="18"/>
      <x:c r="F210" s="19"/>
      <x:c r="G210" s="19"/>
      <x:c r="H210" s="19"/>
      <x:c r="I210" s="22"/>
    </x:row>
    <x:row r="211" ht="19.5" customHeight="1">
      <x:c r="A211" s="25"/>
      <x:c r="B211" s="18"/>
      <x:c r="C211" s="18"/>
      <x:c r="D211" s="18"/>
      <x:c r="E211" s="18"/>
      <x:c r="F211" s="19"/>
      <x:c r="G211" s="19"/>
      <x:c r="H211" s="19"/>
      <x:c r="I211" s="22"/>
    </x:row>
    <x:row r="212" ht="19.5" customHeight="1">
      <x:c r="A212" s="25"/>
      <x:c r="B212" s="18"/>
      <x:c r="C212" s="18"/>
      <x:c r="D212" s="18"/>
      <x:c r="E212" s="18"/>
      <x:c r="F212" s="19"/>
      <x:c r="G212" s="19"/>
      <x:c r="H212" s="19"/>
      <x:c r="I212" s="22"/>
    </x:row>
    <x:row r="213" ht="19.5" customHeight="1">
      <x:c r="A213" s="25"/>
      <x:c r="B213" s="18"/>
      <x:c r="C213" s="18"/>
      <x:c r="D213" s="18"/>
      <x:c r="E213" s="18"/>
      <x:c r="F213" s="19"/>
      <x:c r="G213" s="19"/>
      <x:c r="H213" s="19"/>
      <x:c r="I213" s="22"/>
    </x:row>
    <x:row r="214" ht="19.5" customHeight="1">
      <x:c r="A214" s="25"/>
      <x:c r="B214" s="18"/>
      <x:c r="C214" s="18"/>
      <x:c r="D214" s="18"/>
      <x:c r="E214" s="18"/>
      <x:c r="F214" s="19"/>
      <x:c r="G214" s="19"/>
      <x:c r="H214" s="19"/>
      <x:c r="I214" s="22"/>
    </x:row>
    <x:row r="215" ht="19.5" customHeight="1">
      <x:c r="A215" s="25"/>
      <x:c r="B215" s="18"/>
      <x:c r="C215" s="18"/>
      <x:c r="D215" s="18"/>
      <x:c r="E215" s="18"/>
      <x:c r="F215" s="19"/>
      <x:c r="G215" s="19"/>
      <x:c r="H215" s="19"/>
      <x:c r="I215" s="22"/>
    </x:row>
    <x:row r="216" ht="19.5" customHeight="1">
      <x:c r="A216" s="25"/>
      <x:c r="B216" s="18"/>
      <x:c r="C216" s="18"/>
      <x:c r="D216" s="18"/>
      <x:c r="E216" s="18"/>
      <x:c r="F216" s="19"/>
      <x:c r="G216" s="19"/>
      <x:c r="H216" s="19"/>
      <x:c r="I216" s="22"/>
    </x:row>
    <x:row r="217" ht="19.5" customHeight="1">
      <x:c r="A217" s="25"/>
      <x:c r="B217" s="18"/>
      <x:c r="C217" s="18"/>
      <x:c r="D217" s="18"/>
      <x:c r="E217" s="18"/>
      <x:c r="F217" s="19"/>
      <x:c r="G217" s="19"/>
      <x:c r="H217" s="19"/>
      <x:c r="I217" s="22"/>
    </x:row>
    <x:row r="218" ht="19.5" customHeight="1">
      <x:c r="A218" s="25"/>
      <x:c r="B218" s="18"/>
      <x:c r="C218" s="18"/>
      <x:c r="D218" s="18"/>
      <x:c r="E218" s="18"/>
      <x:c r="F218" s="19"/>
      <x:c r="G218" s="19"/>
      <x:c r="H218" s="19"/>
      <x:c r="I218" s="22"/>
    </x:row>
    <x:row r="219" ht="19.5" customHeight="1">
      <x:c r="A219" s="25"/>
      <x:c r="B219" s="18"/>
      <x:c r="C219" s="18"/>
      <x:c r="D219" s="18"/>
      <x:c r="E219" s="18"/>
      <x:c r="F219" s="19"/>
      <x:c r="G219" s="19"/>
      <x:c r="H219" s="19"/>
      <x:c r="I219" s="22"/>
    </x:row>
    <x:row r="220" ht="19.5" customHeight="1">
      <x:c r="A220" s="25"/>
      <x:c r="B220" s="18"/>
      <x:c r="C220" s="18"/>
      <x:c r="D220" s="18"/>
      <x:c r="E220" s="18"/>
      <x:c r="F220" s="19"/>
      <x:c r="G220" s="19"/>
      <x:c r="H220" s="19"/>
      <x:c r="I220" s="22"/>
    </x:row>
    <x:row r="221" ht="19.5" customHeight="1">
      <x:c r="A221" s="25"/>
      <x:c r="B221" s="18"/>
      <x:c r="C221" s="18"/>
      <x:c r="D221" s="18"/>
      <x:c r="E221" s="18"/>
      <x:c r="F221" s="19"/>
      <x:c r="G221" s="19"/>
      <x:c r="H221" s="19"/>
      <x:c r="I221" s="22"/>
    </x:row>
    <x:row r="222" ht="19.5" customHeight="1">
      <x:c r="A222" s="25"/>
      <x:c r="B222" s="18"/>
      <x:c r="C222" s="18"/>
      <x:c r="D222" s="18"/>
      <x:c r="E222" s="18"/>
      <x:c r="F222" s="19"/>
      <x:c r="G222" s="19"/>
      <x:c r="H222" s="19"/>
      <x:c r="I222" s="22"/>
    </x:row>
    <x:row r="223" ht="19.5" customHeight="1">
      <x:c r="A223" s="25"/>
      <x:c r="B223" s="18"/>
      <x:c r="C223" s="18"/>
      <x:c r="D223" s="18"/>
      <x:c r="E223" s="18"/>
      <x:c r="F223" s="19"/>
      <x:c r="G223" s="19"/>
      <x:c r="H223" s="19"/>
      <x:c r="I223" s="22"/>
    </x:row>
    <x:row r="224" ht="19.5" customHeight="1">
      <x:c r="A224" s="25"/>
      <x:c r="B224" s="18"/>
      <x:c r="C224" s="18"/>
      <x:c r="D224" s="18"/>
      <x:c r="E224" s="18"/>
      <x:c r="F224" s="19"/>
      <x:c r="G224" s="19"/>
      <x:c r="H224" s="19"/>
      <x:c r="I224" s="22"/>
    </x:row>
    <x:row r="225" ht="19.5" customHeight="1">
      <x:c r="A225" s="25"/>
      <x:c r="B225" s="18"/>
      <x:c r="C225" s="18"/>
      <x:c r="D225" s="18"/>
      <x:c r="E225" s="18"/>
      <x:c r="F225" s="19"/>
      <x:c r="G225" s="19"/>
      <x:c r="H225" s="19"/>
      <x:c r="I225" s="22"/>
    </x:row>
    <x:row r="226" ht="19.5" customHeight="1">
      <x:c r="A226" s="25"/>
      <x:c r="B226" s="18"/>
      <x:c r="C226" s="18"/>
      <x:c r="D226" s="18"/>
      <x:c r="E226" s="18"/>
      <x:c r="F226" s="19"/>
      <x:c r="G226" s="19"/>
      <x:c r="H226" s="19"/>
      <x:c r="I226" s="22"/>
    </x:row>
    <x:row r="227" ht="19.5" customHeight="1">
      <x:c r="A227" s="25"/>
      <x:c r="B227" s="18"/>
      <x:c r="C227" s="18"/>
      <x:c r="D227" s="18"/>
      <x:c r="E227" s="18"/>
      <x:c r="F227" s="19"/>
      <x:c r="G227" s="19"/>
      <x:c r="H227" s="19"/>
      <x:c r="I227" s="22"/>
    </x:row>
    <x:row r="228" ht="19.5" customHeight="1">
      <x:c r="A228" s="25"/>
      <x:c r="B228" s="18"/>
      <x:c r="C228" s="18"/>
      <x:c r="D228" s="18"/>
      <x:c r="E228" s="18"/>
      <x:c r="F228" s="19"/>
      <x:c r="G228" s="19"/>
      <x:c r="H228" s="19"/>
      <x:c r="I228" s="22"/>
    </x:row>
    <x:row r="229" ht="19.5" customHeight="1">
      <x:c r="A229" s="25"/>
      <x:c r="B229" s="18"/>
      <x:c r="C229" s="18"/>
      <x:c r="D229" s="18"/>
      <x:c r="E229" s="18"/>
      <x:c r="F229" s="19"/>
      <x:c r="G229" s="19"/>
      <x:c r="H229" s="19"/>
      <x:c r="I229" s="22"/>
    </x:row>
    <x:row r="230" ht="19.5" customHeight="1">
      <x:c r="A230" s="25"/>
      <x:c r="B230" s="18"/>
      <x:c r="C230" s="18"/>
      <x:c r="D230" s="18"/>
      <x:c r="E230" s="18"/>
      <x:c r="F230" s="19"/>
      <x:c r="G230" s="19"/>
      <x:c r="H230" s="19"/>
      <x:c r="I230" s="22"/>
    </x:row>
    <x:row r="231" ht="19.5" customHeight="1">
      <x:c r="A231" s="25"/>
      <x:c r="B231" s="18"/>
      <x:c r="C231" s="18"/>
      <x:c r="D231" s="18"/>
      <x:c r="E231" s="18"/>
      <x:c r="F231" s="19"/>
      <x:c r="G231" s="19"/>
      <x:c r="H231" s="19"/>
      <x:c r="I231" s="22"/>
    </x:row>
    <x:row r="232" ht="19.5" customHeight="1">
      <x:c r="A232" s="25"/>
      <x:c r="B232" s="18"/>
      <x:c r="C232" s="18"/>
      <x:c r="D232" s="18"/>
      <x:c r="E232" s="18"/>
      <x:c r="F232" s="19"/>
      <x:c r="G232" s="19"/>
      <x:c r="H232" s="19"/>
      <x:c r="I232" s="22"/>
    </x:row>
    <x:row r="233" ht="19.5" customHeight="1">
      <x:c r="A233" s="25"/>
      <x:c r="B233" s="18"/>
      <x:c r="C233" s="18"/>
      <x:c r="D233" s="18"/>
      <x:c r="E233" s="18"/>
      <x:c r="F233" s="19"/>
      <x:c r="G233" s="19"/>
      <x:c r="H233" s="19"/>
      <x:c r="I233" s="22"/>
    </x:row>
    <x:row r="234" ht="19.5" customHeight="1">
      <x:c r="A234" s="25"/>
      <x:c r="B234" s="18"/>
      <x:c r="C234" s="18"/>
      <x:c r="D234" s="18"/>
      <x:c r="E234" s="18"/>
      <x:c r="F234" s="19"/>
      <x:c r="G234" s="19"/>
      <x:c r="H234" s="19"/>
      <x:c r="I234" s="22"/>
    </x:row>
    <x:row r="235" ht="19.5" customHeight="1">
      <x:c r="A235" s="25"/>
      <x:c r="B235" s="18"/>
      <x:c r="C235" s="18"/>
      <x:c r="D235" s="18"/>
      <x:c r="E235" s="18"/>
      <x:c r="F235" s="19"/>
      <x:c r="G235" s="19"/>
      <x:c r="H235" s="19"/>
      <x:c r="I235" s="22"/>
    </x:row>
    <x:row r="236" ht="19.5" customHeight="1">
      <x:c r="A236" s="25"/>
      <x:c r="B236" s="18"/>
      <x:c r="C236" s="18"/>
      <x:c r="D236" s="18"/>
      <x:c r="E236" s="18"/>
      <x:c r="F236" s="19"/>
      <x:c r="G236" s="19"/>
      <x:c r="H236" s="19"/>
      <x:c r="I236" s="22"/>
    </x:row>
    <x:row r="237" ht="19.5" customHeight="1">
      <x:c r="A237" s="25"/>
      <x:c r="B237" s="18"/>
      <x:c r="C237" s="18"/>
      <x:c r="D237" s="18"/>
      <x:c r="E237" s="18"/>
      <x:c r="F237" s="19"/>
      <x:c r="G237" s="19"/>
      <x:c r="H237" s="19"/>
      <x:c r="I237" s="22"/>
    </x:row>
    <x:row r="238" ht="19.5" customHeight="1">
      <x:c r="A238" s="25"/>
      <x:c r="B238" s="18"/>
      <x:c r="C238" s="18"/>
      <x:c r="D238" s="18"/>
      <x:c r="E238" s="18"/>
      <x:c r="F238" s="19"/>
      <x:c r="G238" s="19"/>
      <x:c r="H238" s="19"/>
      <x:c r="I238" s="22"/>
    </x:row>
    <x:row r="239" ht="19.5" customHeight="1">
      <x:c r="A239" s="25"/>
      <x:c r="B239" s="18"/>
      <x:c r="C239" s="18"/>
      <x:c r="D239" s="18"/>
      <x:c r="E239" s="18"/>
      <x:c r="F239" s="19"/>
      <x:c r="G239" s="19"/>
      <x:c r="H239" s="19"/>
      <x:c r="I239" s="22"/>
    </x:row>
    <x:row r="240" ht="19.5" customHeight="1">
      <x:c r="A240" s="25"/>
      <x:c r="B240" s="18"/>
      <x:c r="C240" s="18"/>
      <x:c r="D240" s="18"/>
      <x:c r="E240" s="18"/>
      <x:c r="F240" s="19"/>
      <x:c r="G240" s="19"/>
      <x:c r="H240" s="19"/>
      <x:c r="I240" s="22"/>
    </x:row>
    <x:row r="241" ht="19.5" customHeight="1">
      <x:c r="A241" s="25"/>
      <x:c r="B241" s="18"/>
      <x:c r="C241" s="18"/>
      <x:c r="D241" s="18"/>
      <x:c r="E241" s="18"/>
      <x:c r="F241" s="19"/>
      <x:c r="G241" s="19"/>
      <x:c r="H241" s="19"/>
      <x:c r="I241" s="22"/>
    </x:row>
    <x:row r="242" ht="19.5" customHeight="1">
      <x:c r="A242" s="25"/>
      <x:c r="B242" s="18"/>
      <x:c r="C242" s="18"/>
      <x:c r="D242" s="18"/>
      <x:c r="E242" s="18"/>
      <x:c r="F242" s="19"/>
      <x:c r="G242" s="19"/>
      <x:c r="H242" s="19"/>
      <x:c r="I242" s="22"/>
    </x:row>
    <x:row r="243" ht="19.5" customHeight="1">
      <x:c r="A243" s="25"/>
      <x:c r="B243" s="18"/>
      <x:c r="C243" s="18"/>
      <x:c r="D243" s="18"/>
      <x:c r="E243" s="18"/>
      <x:c r="F243" s="19"/>
      <x:c r="G243" s="19"/>
      <x:c r="H243" s="19"/>
      <x:c r="I243" s="22"/>
    </x:row>
    <x:row r="244" ht="19.5" customHeight="1">
      <x:c r="A244" s="25"/>
      <x:c r="B244" s="18"/>
      <x:c r="C244" s="18"/>
      <x:c r="D244" s="18"/>
      <x:c r="E244" s="18"/>
      <x:c r="F244" s="19"/>
      <x:c r="G244" s="19"/>
      <x:c r="H244" s="19"/>
      <x:c r="I244" s="22"/>
    </x:row>
    <x:row r="245" ht="19.5" customHeight="1">
      <x:c r="A245" s="25"/>
      <x:c r="B245" s="18"/>
      <x:c r="C245" s="18"/>
      <x:c r="D245" s="18"/>
      <x:c r="E245" s="18"/>
      <x:c r="F245" s="19"/>
      <x:c r="G245" s="19"/>
      <x:c r="H245" s="19"/>
      <x:c r="I245" s="22"/>
    </x:row>
    <x:row r="246" ht="19.5" customHeight="1">
      <x:c r="A246" s="25"/>
      <x:c r="B246" s="18"/>
      <x:c r="C246" s="18"/>
      <x:c r="D246" s="18"/>
      <x:c r="E246" s="18"/>
      <x:c r="F246" s="19"/>
      <x:c r="G246" s="19"/>
      <x:c r="H246" s="19"/>
      <x:c r="I246" s="22"/>
    </x:row>
    <x:row r="247" ht="19.5" customHeight="1">
      <x:c r="A247" s="25"/>
      <x:c r="B247" s="18"/>
      <x:c r="C247" s="18"/>
      <x:c r="D247" s="18"/>
      <x:c r="E247" s="18"/>
      <x:c r="F247" s="19"/>
      <x:c r="G247" s="19"/>
      <x:c r="H247" s="19"/>
      <x:c r="I247" s="22"/>
    </x:row>
    <x:row r="248" ht="19.5" customHeight="1">
      <x:c r="A248" s="25"/>
      <x:c r="B248" s="18"/>
      <x:c r="C248" s="18"/>
      <x:c r="D248" s="18"/>
      <x:c r="E248" s="18"/>
      <x:c r="F248" s="19"/>
      <x:c r="G248" s="19"/>
      <x:c r="H248" s="19"/>
      <x:c r="I248" s="22"/>
    </x:row>
    <x:row r="249" ht="19.5" customHeight="1">
      <x:c r="A249" s="25"/>
      <x:c r="B249" s="18"/>
      <x:c r="C249" s="18"/>
      <x:c r="D249" s="18"/>
      <x:c r="E249" s="18"/>
      <x:c r="F249" s="19"/>
      <x:c r="G249" s="19"/>
      <x:c r="H249" s="19"/>
      <x:c r="I249" s="22"/>
    </x:row>
    <x:row r="250" ht="19.5" customHeight="1">
      <x:c r="A250" s="25"/>
      <x:c r="B250" s="18"/>
      <x:c r="C250" s="18"/>
      <x:c r="D250" s="18"/>
      <x:c r="E250" s="18"/>
      <x:c r="F250" s="19"/>
      <x:c r="G250" s="19"/>
      <x:c r="H250" s="19"/>
      <x:c r="I250" s="22"/>
    </x:row>
    <x:row r="251" ht="19.5" customHeight="1">
      <x:c r="A251" s="25"/>
      <x:c r="B251" s="18"/>
      <x:c r="C251" s="18"/>
      <x:c r="D251" s="18"/>
      <x:c r="E251" s="18"/>
      <x:c r="F251" s="19"/>
      <x:c r="G251" s="19"/>
      <x:c r="H251" s="19"/>
      <x:c r="I251" s="22"/>
    </x:row>
    <x:row r="252" ht="19.5" customHeight="1">
      <x:c r="A252" s="25"/>
      <x:c r="B252" s="18"/>
      <x:c r="C252" s="18"/>
      <x:c r="D252" s="18"/>
      <x:c r="E252" s="18"/>
      <x:c r="F252" s="19"/>
      <x:c r="G252" s="19"/>
      <x:c r="H252" s="19"/>
      <x:c r="I252" s="22"/>
    </x:row>
    <x:row r="253" ht="19.5" customHeight="1">
      <x:c r="A253" s="25"/>
      <x:c r="B253" s="18"/>
      <x:c r="C253" s="18"/>
      <x:c r="D253" s="18"/>
      <x:c r="E253" s="18"/>
      <x:c r="F253" s="19"/>
      <x:c r="G253" s="19"/>
      <x:c r="H253" s="19"/>
      <x:c r="I253" s="22"/>
    </x:row>
    <x:row r="254" ht="19.5" customHeight="1">
      <x:c r="A254" s="25"/>
      <x:c r="B254" s="18"/>
      <x:c r="C254" s="18"/>
      <x:c r="D254" s="18"/>
      <x:c r="E254" s="18"/>
      <x:c r="F254" s="19"/>
      <x:c r="G254" s="19"/>
      <x:c r="H254" s="19"/>
      <x:c r="I254" s="22"/>
    </x:row>
    <x:row r="255" ht="19.5" customHeight="1">
      <x:c r="A255" s="25"/>
      <x:c r="B255" s="18"/>
      <x:c r="C255" s="18"/>
      <x:c r="D255" s="18"/>
      <x:c r="E255" s="18"/>
      <x:c r="F255" s="19"/>
      <x:c r="G255" s="19"/>
      <x:c r="H255" s="19"/>
      <x:c r="I255" s="22"/>
    </x:row>
    <x:row r="256" ht="19.5" customHeight="1">
      <x:c r="A256" s="25"/>
      <x:c r="B256" s="18"/>
      <x:c r="C256" s="18"/>
      <x:c r="D256" s="18"/>
      <x:c r="E256" s="18"/>
      <x:c r="F256" s="19"/>
      <x:c r="G256" s="19"/>
      <x:c r="H256" s="19"/>
      <x:c r="I256" s="22"/>
    </x:row>
    <x:row r="257" ht="19.5" customHeight="1">
      <x:c r="A257" s="25"/>
      <x:c r="B257" s="18"/>
      <x:c r="C257" s="18"/>
      <x:c r="D257" s="18"/>
      <x:c r="E257" s="18"/>
      <x:c r="F257" s="19"/>
      <x:c r="G257" s="19"/>
      <x:c r="H257" s="19"/>
      <x:c r="I257" s="22"/>
    </x:row>
    <x:row r="258" ht="19.5" customHeight="1">
      <x:c r="A258" s="25"/>
      <x:c r="B258" s="18"/>
      <x:c r="C258" s="18"/>
      <x:c r="D258" s="18"/>
      <x:c r="E258" s="18"/>
      <x:c r="F258" s="19"/>
      <x:c r="G258" s="19"/>
      <x:c r="H258" s="19"/>
      <x:c r="I258" s="22"/>
    </x:row>
    <x:row r="259" ht="19.5" customHeight="1">
      <x:c r="A259" s="25"/>
      <x:c r="B259" s="18"/>
      <x:c r="C259" s="18"/>
      <x:c r="D259" s="18"/>
      <x:c r="E259" s="18"/>
      <x:c r="F259" s="19"/>
      <x:c r="G259" s="19"/>
      <x:c r="H259" s="19"/>
      <x:c r="I259" s="22"/>
    </x:row>
    <x:row r="260" ht="19.5" customHeight="1">
      <x:c r="A260" s="25"/>
      <x:c r="B260" s="18"/>
      <x:c r="C260" s="18"/>
      <x:c r="D260" s="18"/>
      <x:c r="E260" s="18"/>
      <x:c r="F260" s="19"/>
      <x:c r="G260" s="19"/>
      <x:c r="H260" s="19"/>
      <x:c r="I260" s="22"/>
    </x:row>
    <x:row r="261" ht="19.5" customHeight="1">
      <x:c r="A261" s="25"/>
      <x:c r="B261" s="18"/>
      <x:c r="C261" s="18"/>
      <x:c r="D261" s="18"/>
      <x:c r="E261" s="18"/>
      <x:c r="F261" s="19"/>
      <x:c r="G261" s="19"/>
      <x:c r="H261" s="19"/>
      <x:c r="I261" s="22"/>
    </x:row>
    <x:row r="262" ht="19.5" customHeight="1">
      <x:c r="A262" s="25"/>
      <x:c r="B262" s="18"/>
      <x:c r="C262" s="18"/>
      <x:c r="D262" s="18"/>
      <x:c r="E262" s="18"/>
      <x:c r="F262" s="19"/>
      <x:c r="G262" s="19"/>
      <x:c r="H262" s="19"/>
      <x:c r="I262" s="22"/>
    </x:row>
    <x:row r="263" ht="19.5" customHeight="1">
      <x:c r="A263" s="25"/>
      <x:c r="B263" s="18"/>
      <x:c r="C263" s="18"/>
      <x:c r="D263" s="18"/>
      <x:c r="E263" s="18"/>
      <x:c r="F263" s="19"/>
      <x:c r="G263" s="19"/>
      <x:c r="H263" s="19"/>
      <x:c r="I263" s="22"/>
    </x:row>
    <x:row r="264" ht="19.5" customHeight="1">
      <x:c r="A264" s="25"/>
      <x:c r="B264" s="18"/>
      <x:c r="C264" s="18"/>
      <x:c r="D264" s="18"/>
      <x:c r="E264" s="18"/>
      <x:c r="F264" s="19"/>
      <x:c r="G264" s="19"/>
      <x:c r="H264" s="19"/>
      <x:c r="I264" s="22"/>
    </x:row>
    <x:row r="265" ht="19.5" customHeight="1">
      <x:c r="A265" s="25"/>
      <x:c r="B265" s="18"/>
      <x:c r="C265" s="18"/>
      <x:c r="D265" s="18"/>
      <x:c r="E265" s="18"/>
      <x:c r="F265" s="19"/>
      <x:c r="G265" s="19"/>
      <x:c r="H265" s="19"/>
      <x:c r="I265" s="22"/>
    </x:row>
    <x:row r="266" ht="19.5" customHeight="1">
      <x:c r="A266" s="25"/>
      <x:c r="B266" s="18"/>
      <x:c r="C266" s="18"/>
      <x:c r="D266" s="18"/>
      <x:c r="E266" s="18"/>
      <x:c r="F266" s="19"/>
      <x:c r="G266" s="19"/>
      <x:c r="H266" s="19"/>
      <x:c r="I266" s="22"/>
    </x:row>
    <x:row r="267" ht="19.5" customHeight="1">
      <x:c r="A267" s="25"/>
      <x:c r="B267" s="18"/>
      <x:c r="C267" s="18"/>
      <x:c r="D267" s="18"/>
      <x:c r="E267" s="18"/>
      <x:c r="F267" s="19"/>
      <x:c r="G267" s="19"/>
      <x:c r="H267" s="19"/>
      <x:c r="I267" s="22"/>
    </x:row>
    <x:row r="268" ht="19.5" customHeight="1">
      <x:c r="A268" s="25"/>
      <x:c r="B268" s="18"/>
      <x:c r="C268" s="18"/>
      <x:c r="D268" s="18"/>
      <x:c r="E268" s="18"/>
      <x:c r="F268" s="19"/>
      <x:c r="G268" s="19"/>
      <x:c r="H268" s="19"/>
      <x:c r="I268" s="22"/>
    </x:row>
    <x:row r="269" ht="19.5" customHeight="1">
      <x:c r="A269" s="25"/>
      <x:c r="B269" s="18"/>
      <x:c r="C269" s="18"/>
      <x:c r="D269" s="18"/>
      <x:c r="E269" s="18"/>
      <x:c r="F269" s="19"/>
      <x:c r="G269" s="19"/>
      <x:c r="H269" s="19"/>
      <x:c r="I269" s="22"/>
    </x:row>
    <x:row r="270" ht="19.5" customHeight="1">
      <x:c r="A270" s="25"/>
      <x:c r="B270" s="18"/>
      <x:c r="C270" s="18"/>
      <x:c r="D270" s="18"/>
      <x:c r="E270" s="18"/>
      <x:c r="F270" s="19"/>
      <x:c r="G270" s="19"/>
      <x:c r="H270" s="19"/>
      <x:c r="I270" s="22"/>
    </x:row>
    <x:row r="271" ht="19.5" customHeight="1">
      <x:c r="A271" s="25"/>
      <x:c r="B271" s="18"/>
      <x:c r="C271" s="18"/>
      <x:c r="D271" s="18"/>
      <x:c r="E271" s="18"/>
      <x:c r="F271" s="19"/>
      <x:c r="G271" s="19"/>
      <x:c r="H271" s="19"/>
      <x:c r="I271" s="22"/>
    </x:row>
    <x:row r="272" ht="19.5" customHeight="1">
      <x:c r="A272" s="25"/>
      <x:c r="B272" s="18"/>
      <x:c r="C272" s="18"/>
      <x:c r="D272" s="18"/>
      <x:c r="E272" s="18"/>
      <x:c r="F272" s="19"/>
      <x:c r="G272" s="19"/>
      <x:c r="H272" s="19"/>
      <x:c r="I272" s="22"/>
    </x:row>
    <x:row r="273" ht="19.5" customHeight="1">
      <x:c r="A273" s="25"/>
      <x:c r="B273" s="18"/>
      <x:c r="C273" s="18"/>
      <x:c r="D273" s="18"/>
      <x:c r="E273" s="18"/>
      <x:c r="F273" s="19"/>
      <x:c r="G273" s="19"/>
      <x:c r="H273" s="19"/>
      <x:c r="I273" s="22"/>
    </x:row>
    <x:row r="274" ht="19.5" customHeight="1">
      <x:c r="A274" s="25"/>
      <x:c r="B274" s="18"/>
      <x:c r="C274" s="18"/>
      <x:c r="D274" s="18"/>
      <x:c r="E274" s="18"/>
      <x:c r="F274" s="19"/>
      <x:c r="G274" s="19"/>
      <x:c r="H274" s="19"/>
      <x:c r="I274" s="22"/>
    </x:row>
    <x:row r="275" ht="19.5" customHeight="1">
      <x:c r="A275" s="25"/>
      <x:c r="B275" s="18"/>
      <x:c r="C275" s="18"/>
      <x:c r="D275" s="18"/>
      <x:c r="E275" s="18"/>
      <x:c r="F275" s="19"/>
      <x:c r="G275" s="19"/>
      <x:c r="H275" s="19"/>
      <x:c r="I275" s="22"/>
    </x:row>
    <x:row r="276" ht="19.5" customHeight="1">
      <x:c r="A276" s="25"/>
      <x:c r="B276" s="18"/>
      <x:c r="C276" s="18"/>
      <x:c r="D276" s="18"/>
      <x:c r="E276" s="18"/>
      <x:c r="F276" s="19"/>
      <x:c r="G276" s="19"/>
      <x:c r="H276" s="19"/>
      <x:c r="I276" s="22"/>
    </x:row>
    <x:row r="277" ht="19.5" customHeight="1">
      <x:c r="A277" s="25"/>
      <x:c r="B277" s="18"/>
      <x:c r="C277" s="18"/>
      <x:c r="D277" s="18"/>
      <x:c r="E277" s="18"/>
      <x:c r="F277" s="19"/>
      <x:c r="G277" s="19"/>
      <x:c r="H277" s="19"/>
      <x:c r="I277" s="22"/>
    </x:row>
    <x:row r="278" ht="19.5" customHeight="1">
      <x:c r="A278" s="25"/>
      <x:c r="B278" s="18"/>
      <x:c r="C278" s="18"/>
      <x:c r="D278" s="18"/>
      <x:c r="E278" s="18"/>
      <x:c r="F278" s="19"/>
      <x:c r="G278" s="19"/>
      <x:c r="H278" s="19"/>
      <x:c r="I278" s="22"/>
    </x:row>
    <x:row r="279" ht="19.5" customHeight="1">
      <x:c r="A279" s="25"/>
      <x:c r="B279" s="18"/>
      <x:c r="C279" s="18"/>
      <x:c r="D279" s="18"/>
      <x:c r="E279" s="18"/>
      <x:c r="F279" s="19"/>
      <x:c r="G279" s="19"/>
      <x:c r="H279" s="19"/>
      <x:c r="I279" s="22"/>
    </x:row>
    <x:row r="280" ht="19.5" customHeight="1">
      <x:c r="A280" s="25"/>
      <x:c r="B280" s="18"/>
      <x:c r="C280" s="18"/>
      <x:c r="D280" s="18"/>
      <x:c r="E280" s="18"/>
      <x:c r="F280" s="19"/>
      <x:c r="G280" s="19"/>
      <x:c r="H280" s="19"/>
      <x:c r="I280" s="22"/>
    </x:row>
    <x:row r="281" ht="19.5" customHeight="1">
      <x:c r="A281" s="25"/>
      <x:c r="B281" s="18"/>
      <x:c r="C281" s="18"/>
      <x:c r="D281" s="18"/>
      <x:c r="E281" s="18"/>
      <x:c r="F281" s="19"/>
      <x:c r="G281" s="19"/>
      <x:c r="H281" s="19"/>
      <x:c r="I281" s="22"/>
    </x:row>
    <x:row r="282" ht="19.5" customHeight="1">
      <x:c r="A282" s="25"/>
      <x:c r="B282" s="18"/>
      <x:c r="C282" s="18"/>
      <x:c r="D282" s="18"/>
      <x:c r="E282" s="18"/>
      <x:c r="F282" s="19"/>
      <x:c r="G282" s="19"/>
      <x:c r="H282" s="19"/>
      <x:c r="I282" s="22"/>
    </x:row>
    <x:row r="283" ht="19.5" customHeight="1">
      <x:c r="A283" s="25"/>
      <x:c r="B283" s="18"/>
      <x:c r="C283" s="18"/>
      <x:c r="D283" s="18"/>
      <x:c r="E283" s="18"/>
      <x:c r="F283" s="19"/>
      <x:c r="G283" s="19"/>
      <x:c r="H283" s="19"/>
      <x:c r="I283" s="22"/>
    </x:row>
    <x:row r="284" ht="19.5" customHeight="1">
      <x:c r="A284" s="25"/>
      <x:c r="B284" s="18"/>
      <x:c r="C284" s="18"/>
      <x:c r="D284" s="18"/>
      <x:c r="E284" s="18"/>
      <x:c r="F284" s="19"/>
      <x:c r="G284" s="19"/>
      <x:c r="H284" s="19"/>
      <x:c r="I284" s="22"/>
    </x:row>
    <x:row r="285" ht="19.5" customHeight="1">
      <x:c r="A285" s="25"/>
      <x:c r="B285" s="18"/>
      <x:c r="C285" s="18"/>
      <x:c r="D285" s="18"/>
      <x:c r="E285" s="18"/>
      <x:c r="F285" s="19"/>
      <x:c r="G285" s="19"/>
      <x:c r="H285" s="19"/>
      <x:c r="I285" s="22"/>
    </x:row>
    <x:row r="286" ht="19.5" customHeight="1">
      <x:c r="A286" s="25"/>
      <x:c r="B286" s="18"/>
      <x:c r="C286" s="18"/>
      <x:c r="D286" s="18"/>
      <x:c r="E286" s="18"/>
      <x:c r="F286" s="19"/>
      <x:c r="G286" s="19"/>
      <x:c r="H286" s="19"/>
      <x:c r="I286" s="22"/>
    </x:row>
    <x:row r="287" ht="19.5" customHeight="1">
      <x:c r="A287" s="25"/>
      <x:c r="B287" s="18"/>
      <x:c r="C287" s="18"/>
      <x:c r="D287" s="18"/>
      <x:c r="E287" s="18"/>
      <x:c r="F287" s="19"/>
      <x:c r="G287" s="19"/>
      <x:c r="H287" s="19"/>
      <x:c r="I287" s="22"/>
    </x:row>
    <x:row r="288" ht="19.5" customHeight="1">
      <x:c r="A288" s="25"/>
      <x:c r="B288" s="18"/>
      <x:c r="C288" s="18"/>
      <x:c r="D288" s="18"/>
      <x:c r="E288" s="18"/>
      <x:c r="F288" s="19"/>
      <x:c r="G288" s="19"/>
      <x:c r="H288" s="19"/>
      <x:c r="I288" s="22"/>
    </x:row>
    <x:row r="289" ht="19.5" customHeight="1">
      <x:c r="A289" s="25"/>
      <x:c r="B289" s="18"/>
      <x:c r="C289" s="18"/>
      <x:c r="D289" s="18"/>
      <x:c r="E289" s="18"/>
      <x:c r="F289" s="19"/>
      <x:c r="G289" s="19"/>
      <x:c r="H289" s="19"/>
      <x:c r="I289" s="22"/>
    </x:row>
    <x:row r="290" ht="19.5" customHeight="1">
      <x:c r="A290" s="25"/>
      <x:c r="B290" s="18"/>
      <x:c r="C290" s="18"/>
      <x:c r="D290" s="18"/>
      <x:c r="E290" s="18"/>
      <x:c r="F290" s="19"/>
      <x:c r="G290" s="19"/>
      <x:c r="H290" s="19"/>
      <x:c r="I290" s="22"/>
    </x:row>
    <x:row r="291" ht="19.5" customHeight="1">
      <x:c r="A291" s="25"/>
      <x:c r="B291" s="18"/>
      <x:c r="C291" s="18"/>
      <x:c r="D291" s="18"/>
      <x:c r="E291" s="18"/>
      <x:c r="F291" s="19"/>
      <x:c r="G291" s="19"/>
      <x:c r="H291" s="19"/>
      <x:c r="I291" s="22"/>
    </x:row>
    <x:row r="292" ht="19.5" customHeight="1">
      <x:c r="A292" s="25"/>
      <x:c r="B292" s="18"/>
      <x:c r="C292" s="18"/>
      <x:c r="D292" s="18"/>
      <x:c r="E292" s="18"/>
      <x:c r="F292" s="19"/>
      <x:c r="G292" s="19"/>
      <x:c r="H292" s="19"/>
      <x:c r="I292" s="22"/>
    </x:row>
    <x:row r="293" ht="19.5" customHeight="1">
      <x:c r="A293" s="25"/>
      <x:c r="B293" s="18"/>
      <x:c r="C293" s="18"/>
      <x:c r="D293" s="18"/>
      <x:c r="E293" s="18"/>
      <x:c r="F293" s="19"/>
      <x:c r="G293" s="19"/>
      <x:c r="H293" s="19"/>
      <x:c r="I293" s="22"/>
    </x:row>
    <x:row r="294" ht="19.5" customHeight="1">
      <x:c r="A294" s="25"/>
      <x:c r="B294" s="18"/>
      <x:c r="C294" s="18"/>
      <x:c r="D294" s="18"/>
      <x:c r="E294" s="18"/>
      <x:c r="F294" s="19"/>
      <x:c r="G294" s="19"/>
      <x:c r="H294" s="19"/>
      <x:c r="I294" s="22"/>
    </x:row>
    <x:row r="295" ht="19.5" customHeight="1">
      <x:c r="A295" s="25"/>
      <x:c r="B295" s="18"/>
      <x:c r="C295" s="18"/>
      <x:c r="D295" s="18"/>
      <x:c r="E295" s="18"/>
      <x:c r="F295" s="19"/>
      <x:c r="G295" s="19"/>
      <x:c r="H295" s="19"/>
      <x:c r="I295" s="22"/>
    </x:row>
    <x:row r="296" ht="19.5" customHeight="1">
      <x:c r="A296" s="25"/>
      <x:c r="B296" s="18"/>
      <x:c r="C296" s="18"/>
      <x:c r="D296" s="18"/>
      <x:c r="E296" s="18"/>
      <x:c r="F296" s="19"/>
      <x:c r="G296" s="19"/>
      <x:c r="H296" s="19"/>
      <x:c r="I296" s="22"/>
    </x:row>
    <x:row r="297" ht="19.5" customHeight="1">
      <x:c r="A297" s="25"/>
      <x:c r="B297" s="18"/>
      <x:c r="C297" s="18"/>
      <x:c r="D297" s="18"/>
      <x:c r="E297" s="18"/>
      <x:c r="F297" s="19"/>
      <x:c r="G297" s="19"/>
      <x:c r="H297" s="19"/>
      <x:c r="I297" s="22"/>
    </x:row>
    <x:row r="298" ht="19.5" customHeight="1">
      <x:c r="A298" s="25"/>
      <x:c r="B298" s="18"/>
      <x:c r="C298" s="18"/>
      <x:c r="D298" s="18"/>
      <x:c r="E298" s="18"/>
      <x:c r="F298" s="19"/>
      <x:c r="G298" s="19"/>
      <x:c r="H298" s="19"/>
      <x:c r="I298" s="22"/>
    </x:row>
    <x:row r="299" ht="19.5" customHeight="1">
      <x:c r="A299" s="25"/>
      <x:c r="B299" s="18"/>
      <x:c r="C299" s="18"/>
      <x:c r="D299" s="18"/>
      <x:c r="E299" s="18"/>
      <x:c r="F299" s="19"/>
      <x:c r="G299" s="19"/>
      <x:c r="H299" s="19"/>
      <x:c r="I299" s="22"/>
    </x:row>
    <x:row r="300" ht="19.5" customHeight="1">
      <x:c r="A300" s="25"/>
      <x:c r="B300" s="18"/>
      <x:c r="C300" s="18"/>
      <x:c r="D300" s="18"/>
      <x:c r="E300" s="18"/>
      <x:c r="F300" s="19"/>
      <x:c r="G300" s="19"/>
      <x:c r="H300" s="19"/>
      <x:c r="I300" s="22"/>
    </x:row>
    <x:row r="301" ht="19.5" customHeight="1">
      <x:c r="A301" s="25"/>
      <x:c r="B301" s="18"/>
      <x:c r="C301" s="18"/>
      <x:c r="D301" s="18"/>
      <x:c r="E301" s="18"/>
      <x:c r="F301" s="19"/>
      <x:c r="G301" s="19"/>
      <x:c r="H301" s="19"/>
      <x:c r="I301" s="22"/>
    </x:row>
    <x:row r="302" ht="19.5" customHeight="1">
      <x:c r="A302" s="25"/>
      <x:c r="B302" s="18"/>
      <x:c r="C302" s="18"/>
      <x:c r="D302" s="18"/>
      <x:c r="E302" s="18"/>
      <x:c r="F302" s="19"/>
      <x:c r="G302" s="19"/>
      <x:c r="H302" s="19"/>
      <x:c r="I302" s="22"/>
    </x:row>
    <x:row r="303" ht="19.5" customHeight="1">
      <x:c r="A303" s="25"/>
      <x:c r="B303" s="18"/>
      <x:c r="C303" s="18"/>
      <x:c r="D303" s="18"/>
      <x:c r="E303" s="18"/>
      <x:c r="F303" s="19"/>
      <x:c r="G303" s="19"/>
      <x:c r="H303" s="19"/>
      <x:c r="I303" s="22"/>
    </x:row>
    <x:row r="304" ht="19.5" customHeight="1">
      <x:c r="A304" s="25"/>
      <x:c r="B304" s="18"/>
      <x:c r="C304" s="18"/>
      <x:c r="D304" s="18"/>
      <x:c r="E304" s="18"/>
      <x:c r="F304" s="19"/>
      <x:c r="G304" s="19"/>
      <x:c r="H304" s="19"/>
      <x:c r="I304" s="22"/>
    </x:row>
    <x:row r="305" ht="19.5" customHeight="1">
      <x:c r="A305" s="25"/>
      <x:c r="B305" s="18"/>
      <x:c r="C305" s="18"/>
      <x:c r="D305" s="18"/>
      <x:c r="E305" s="18"/>
      <x:c r="F305" s="19"/>
      <x:c r="G305" s="19"/>
      <x:c r="H305" s="19"/>
      <x:c r="I305" s="22"/>
    </x:row>
    <x:row r="306" ht="19.5" customHeight="1">
      <x:c r="A306" s="25"/>
      <x:c r="B306" s="18"/>
      <x:c r="C306" s="18"/>
      <x:c r="D306" s="18"/>
      <x:c r="E306" s="18"/>
      <x:c r="F306" s="19"/>
      <x:c r="G306" s="19"/>
      <x:c r="H306" s="19"/>
      <x:c r="I306" s="22"/>
    </x:row>
    <x:row r="307" ht="19.5" customHeight="1">
      <x:c r="A307" s="25"/>
      <x:c r="B307" s="18"/>
      <x:c r="C307" s="18"/>
      <x:c r="D307" s="18"/>
      <x:c r="E307" s="18"/>
      <x:c r="F307" s="19"/>
      <x:c r="G307" s="19"/>
      <x:c r="H307" s="19"/>
      <x:c r="I307" s="22"/>
    </x:row>
    <x:row r="308" ht="19.5" customHeight="1">
      <x:c r="A308" s="25"/>
      <x:c r="B308" s="18"/>
      <x:c r="C308" s="18"/>
      <x:c r="D308" s="18"/>
      <x:c r="E308" s="18"/>
      <x:c r="F308" s="19"/>
      <x:c r="G308" s="19"/>
      <x:c r="H308" s="19"/>
      <x:c r="I308" s="22"/>
    </x:row>
    <x:row r="309" ht="19.5" customHeight="1">
      <x:c r="A309" s="25"/>
      <x:c r="B309" s="18"/>
      <x:c r="C309" s="18"/>
      <x:c r="D309" s="18"/>
      <x:c r="E309" s="18"/>
      <x:c r="F309" s="19"/>
      <x:c r="G309" s="19"/>
      <x:c r="H309" s="19"/>
      <x:c r="I309" s="22"/>
    </x:row>
    <x:row r="310" ht="19.5" customHeight="1">
      <x:c r="A310" s="25"/>
      <x:c r="B310" s="18"/>
      <x:c r="C310" s="18"/>
      <x:c r="D310" s="18"/>
      <x:c r="E310" s="18"/>
      <x:c r="F310" s="19"/>
      <x:c r="G310" s="19"/>
      <x:c r="H310" s="19"/>
      <x:c r="I310" s="22"/>
    </x:row>
    <x:row r="311" ht="19.5" customHeight="1">
      <x:c r="A311" s="25"/>
      <x:c r="B311" s="18"/>
      <x:c r="C311" s="18"/>
      <x:c r="D311" s="18"/>
      <x:c r="E311" s="18"/>
      <x:c r="F311" s="19"/>
      <x:c r="G311" s="19"/>
      <x:c r="H311" s="19"/>
      <x:c r="I311" s="22"/>
    </x:row>
    <x:row r="312" ht="19.5" customHeight="1">
      <x:c r="A312" s="25"/>
      <x:c r="B312" s="18"/>
      <x:c r="C312" s="18"/>
      <x:c r="D312" s="18"/>
      <x:c r="E312" s="18"/>
      <x:c r="F312" s="19"/>
      <x:c r="G312" s="19"/>
      <x:c r="H312" s="19"/>
      <x:c r="I312" s="22"/>
    </x:row>
    <x:row r="313" ht="19.5" customHeight="1">
      <x:c r="A313" s="25"/>
      <x:c r="B313" s="18"/>
      <x:c r="C313" s="18"/>
      <x:c r="D313" s="18"/>
      <x:c r="E313" s="18"/>
      <x:c r="F313" s="19"/>
      <x:c r="G313" s="19"/>
      <x:c r="H313" s="19"/>
      <x:c r="I313" s="22"/>
    </x:row>
    <x:row r="314" ht="19.5" customHeight="1">
      <x:c r="A314" s="25"/>
      <x:c r="B314" s="18"/>
      <x:c r="C314" s="18"/>
      <x:c r="D314" s="18"/>
      <x:c r="E314" s="18"/>
      <x:c r="F314" s="19"/>
      <x:c r="G314" s="19"/>
      <x:c r="H314" s="19"/>
      <x:c r="I314" s="22"/>
    </x:row>
    <x:row r="315" ht="19.5" customHeight="1">
      <x:c r="A315" s="25"/>
      <x:c r="B315" s="18"/>
      <x:c r="C315" s="18"/>
      <x:c r="D315" s="18"/>
      <x:c r="E315" s="18"/>
      <x:c r="F315" s="19"/>
      <x:c r="G315" s="19"/>
      <x:c r="H315" s="19"/>
      <x:c r="I315" s="22"/>
    </x:row>
    <x:row r="316" ht="19.5" customHeight="1">
      <x:c r="A316" s="25"/>
      <x:c r="B316" s="18"/>
      <x:c r="C316" s="18"/>
      <x:c r="D316" s="18"/>
      <x:c r="E316" s="18"/>
      <x:c r="F316" s="19"/>
      <x:c r="G316" s="19"/>
      <x:c r="H316" s="19"/>
      <x:c r="I316" s="22"/>
    </x:row>
    <x:row r="317" ht="19.5" customHeight="1">
      <x:c r="A317" s="25"/>
      <x:c r="B317" s="18"/>
      <x:c r="C317" s="18"/>
      <x:c r="D317" s="18"/>
      <x:c r="E317" s="18"/>
      <x:c r="F317" s="19"/>
      <x:c r="G317" s="19"/>
      <x:c r="H317" s="19"/>
      <x:c r="I317" s="22"/>
    </x:row>
    <x:row r="318" ht="19.5" customHeight="1">
      <x:c r="A318" s="25"/>
      <x:c r="B318" s="18"/>
      <x:c r="C318" s="18"/>
      <x:c r="D318" s="18"/>
      <x:c r="E318" s="18"/>
      <x:c r="F318" s="19"/>
      <x:c r="G318" s="19"/>
      <x:c r="H318" s="19"/>
      <x:c r="I318" s="22"/>
    </x:row>
    <x:row r="319" ht="19.5" customHeight="1">
      <x:c r="A319" s="25"/>
      <x:c r="B319" s="18"/>
      <x:c r="C319" s="18"/>
      <x:c r="D319" s="18"/>
      <x:c r="E319" s="18"/>
      <x:c r="F319" s="19"/>
      <x:c r="G319" s="19"/>
      <x:c r="H319" s="19"/>
      <x:c r="I319" s="22"/>
    </x:row>
    <x:row r="320" ht="19.5" customHeight="1">
      <x:c r="A320" s="25"/>
      <x:c r="B320" s="18"/>
      <x:c r="C320" s="18"/>
      <x:c r="D320" s="18"/>
      <x:c r="E320" s="18"/>
      <x:c r="F320" s="19"/>
      <x:c r="G320" s="19"/>
      <x:c r="H320" s="19"/>
      <x:c r="I320" s="22"/>
    </x:row>
    <x:row r="321" ht="19.5" customHeight="1">
      <x:c r="A321" s="25"/>
      <x:c r="B321" s="18"/>
      <x:c r="C321" s="18"/>
      <x:c r="D321" s="18"/>
      <x:c r="E321" s="18"/>
      <x:c r="F321" s="19"/>
      <x:c r="G321" s="19"/>
      <x:c r="H321" s="19"/>
      <x:c r="I321" s="22"/>
    </x:row>
    <x:row r="322" ht="19.5" customHeight="1">
      <x:c r="A322" s="25"/>
      <x:c r="B322" s="18"/>
      <x:c r="C322" s="18"/>
      <x:c r="D322" s="18"/>
      <x:c r="E322" s="18"/>
      <x:c r="F322" s="19"/>
      <x:c r="G322" s="19"/>
      <x:c r="H322" s="19"/>
      <x:c r="I322" s="22"/>
    </x:row>
    <x:row r="323" ht="19.5" customHeight="1">
      <x:c r="A323" s="25"/>
      <x:c r="B323" s="18"/>
      <x:c r="C323" s="18"/>
      <x:c r="D323" s="18"/>
      <x:c r="E323" s="18"/>
      <x:c r="F323" s="19"/>
      <x:c r="G323" s="19"/>
      <x:c r="H323" s="19"/>
      <x:c r="I323" s="22"/>
    </x:row>
    <x:row r="324" ht="19.5" customHeight="1">
      <x:c r="A324" s="25"/>
      <x:c r="B324" s="18"/>
      <x:c r="C324" s="18"/>
      <x:c r="D324" s="18"/>
      <x:c r="E324" s="18"/>
      <x:c r="F324" s="19"/>
      <x:c r="G324" s="19"/>
      <x:c r="H324" s="19"/>
      <x:c r="I324" s="22"/>
    </x:row>
    <x:row r="325" ht="19.5" customHeight="1">
      <x:c r="A325" s="25"/>
      <x:c r="B325" s="18"/>
      <x:c r="C325" s="18"/>
      <x:c r="D325" s="18"/>
      <x:c r="E325" s="18"/>
      <x:c r="F325" s="19"/>
      <x:c r="G325" s="19"/>
      <x:c r="H325" s="19"/>
      <x:c r="I325" s="22"/>
    </x:row>
    <x:row r="326" ht="19.5" customHeight="1">
      <x:c r="A326" s="25"/>
      <x:c r="B326" s="18"/>
      <x:c r="C326" s="18"/>
      <x:c r="D326" s="18"/>
      <x:c r="E326" s="18"/>
      <x:c r="F326" s="19"/>
      <x:c r="G326" s="19"/>
      <x:c r="H326" s="19"/>
      <x:c r="I326" s="22"/>
    </x:row>
    <x:row r="327" ht="19.5" customHeight="1">
      <x:c r="A327" s="25"/>
      <x:c r="B327" s="18"/>
      <x:c r="C327" s="18"/>
      <x:c r="D327" s="18"/>
      <x:c r="E327" s="18"/>
      <x:c r="F327" s="19"/>
      <x:c r="G327" s="19"/>
      <x:c r="H327" s="19"/>
      <x:c r="I327" s="22"/>
    </x:row>
    <x:row r="328" ht="19.5" customHeight="1">
      <x:c r="A328" s="25"/>
      <x:c r="B328" s="18"/>
      <x:c r="C328" s="18"/>
      <x:c r="D328" s="18"/>
      <x:c r="E328" s="18"/>
      <x:c r="F328" s="19"/>
      <x:c r="G328" s="19"/>
      <x:c r="H328" s="19"/>
      <x:c r="I328" s="22"/>
    </x:row>
    <x:row r="329" ht="19.5" customHeight="1">
      <x:c r="A329" s="25"/>
      <x:c r="B329" s="18"/>
      <x:c r="C329" s="18"/>
      <x:c r="D329" s="18"/>
      <x:c r="E329" s="18"/>
      <x:c r="F329" s="19"/>
      <x:c r="G329" s="19"/>
      <x:c r="H329" s="19"/>
      <x:c r="I329" s="22"/>
    </x:row>
    <x:row r="330" ht="19.5" customHeight="1">
      <x:c r="A330" s="25"/>
      <x:c r="B330" s="18"/>
      <x:c r="C330" s="18"/>
      <x:c r="D330" s="18"/>
      <x:c r="E330" s="18"/>
      <x:c r="F330" s="19"/>
      <x:c r="G330" s="19"/>
      <x:c r="H330" s="19"/>
      <x:c r="I330" s="22"/>
    </x:row>
    <x:row r="331" ht="19.5" customHeight="1">
      <x:c r="A331" s="25"/>
      <x:c r="B331" s="18"/>
      <x:c r="C331" s="18"/>
      <x:c r="D331" s="18"/>
      <x:c r="E331" s="18"/>
      <x:c r="F331" s="19"/>
      <x:c r="G331" s="19"/>
      <x:c r="H331" s="19"/>
      <x:c r="I331" s="22"/>
    </x:row>
    <x:row r="332" ht="19.5" customHeight="1">
      <x:c r="A332" s="25"/>
      <x:c r="B332" s="18"/>
      <x:c r="C332" s="18"/>
      <x:c r="D332" s="18"/>
      <x:c r="E332" s="18"/>
      <x:c r="F332" s="19"/>
      <x:c r="G332" s="19"/>
      <x:c r="H332" s="19"/>
      <x:c r="I332" s="22"/>
    </x:row>
    <x:row r="333" ht="19.5" customHeight="1">
      <x:c r="A333" s="25"/>
      <x:c r="B333" s="18"/>
      <x:c r="C333" s="18"/>
      <x:c r="D333" s="18"/>
      <x:c r="E333" s="18"/>
      <x:c r="F333" s="19"/>
      <x:c r="G333" s="19"/>
      <x:c r="H333" s="19"/>
      <x:c r="I333" s="22"/>
    </x:row>
    <x:row r="334" ht="19.5" customHeight="1">
      <x:c r="A334" s="25"/>
      <x:c r="B334" s="18"/>
      <x:c r="C334" s="18"/>
      <x:c r="D334" s="18"/>
      <x:c r="E334" s="18"/>
      <x:c r="F334" s="19"/>
      <x:c r="G334" s="19"/>
      <x:c r="H334" s="19"/>
      <x:c r="I334" s="22"/>
    </x:row>
    <x:row r="335" ht="19.5" customHeight="1">
      <x:c r="A335" s="25"/>
      <x:c r="B335" s="18"/>
      <x:c r="C335" s="18"/>
      <x:c r="D335" s="18"/>
      <x:c r="E335" s="18"/>
      <x:c r="F335" s="19"/>
      <x:c r="G335" s="19"/>
      <x:c r="H335" s="19"/>
      <x:c r="I335" s="22"/>
    </x:row>
    <x:row r="336" ht="19.5" customHeight="1">
      <x:c r="A336" s="25"/>
      <x:c r="B336" s="18"/>
      <x:c r="C336" s="18"/>
      <x:c r="D336" s="18"/>
      <x:c r="E336" s="18"/>
      <x:c r="F336" s="19"/>
      <x:c r="G336" s="19"/>
      <x:c r="H336" s="19"/>
      <x:c r="I336" s="22"/>
    </x:row>
    <x:row r="337" ht="19.5" customHeight="1">
      <x:c r="A337" s="25"/>
      <x:c r="B337" s="18"/>
      <x:c r="C337" s="18"/>
      <x:c r="D337" s="18"/>
      <x:c r="E337" s="18"/>
      <x:c r="F337" s="19"/>
      <x:c r="G337" s="19"/>
      <x:c r="H337" s="19"/>
      <x:c r="I337" s="22"/>
    </x:row>
    <x:row r="338" ht="19.5" customHeight="1">
      <x:c r="A338" s="25"/>
      <x:c r="B338" s="18"/>
      <x:c r="C338" s="18"/>
      <x:c r="D338" s="18"/>
      <x:c r="E338" s="18"/>
      <x:c r="F338" s="19"/>
      <x:c r="G338" s="19"/>
      <x:c r="H338" s="19"/>
      <x:c r="I338" s="22"/>
    </x:row>
    <x:row r="339" ht="19.5" customHeight="1">
      <x:c r="A339" s="25"/>
      <x:c r="B339" s="18"/>
      <x:c r="C339" s="18"/>
      <x:c r="D339" s="18"/>
      <x:c r="E339" s="18"/>
      <x:c r="F339" s="19"/>
      <x:c r="G339" s="19"/>
      <x:c r="H339" s="19"/>
      <x:c r="I339" s="22"/>
    </x:row>
    <x:row r="340" ht="19.5" customHeight="1">
      <x:c r="A340" s="25"/>
      <x:c r="B340" s="18"/>
      <x:c r="C340" s="18"/>
      <x:c r="D340" s="18"/>
      <x:c r="E340" s="18"/>
      <x:c r="F340" s="19"/>
      <x:c r="G340" s="19"/>
      <x:c r="H340" s="19"/>
      <x:c r="I340" s="22"/>
    </x:row>
    <x:row r="341" ht="19.5" customHeight="1">
      <x:c r="A341" s="25"/>
      <x:c r="B341" s="18"/>
      <x:c r="C341" s="18"/>
      <x:c r="D341" s="18"/>
      <x:c r="E341" s="18"/>
      <x:c r="F341" s="19"/>
      <x:c r="G341" s="19"/>
      <x:c r="H341" s="19"/>
      <x:c r="I341" s="22"/>
    </x:row>
    <x:row r="342" ht="19.5" customHeight="1">
      <x:c r="A342" s="25"/>
      <x:c r="B342" s="18"/>
      <x:c r="C342" s="18"/>
      <x:c r="D342" s="18"/>
      <x:c r="E342" s="18"/>
      <x:c r="F342" s="19"/>
      <x:c r="G342" s="19"/>
      <x:c r="H342" s="19"/>
      <x:c r="I342" s="22"/>
    </x:row>
    <x:row r="343" ht="19.5" customHeight="1">
      <x:c r="A343" s="25"/>
      <x:c r="B343" s="18"/>
      <x:c r="C343" s="18"/>
      <x:c r="D343" s="18"/>
      <x:c r="E343" s="18"/>
      <x:c r="F343" s="19"/>
      <x:c r="G343" s="19"/>
      <x:c r="H343" s="19"/>
      <x:c r="I343" s="22"/>
    </x:row>
    <x:row r="344" ht="19.5" customHeight="1">
      <x:c r="A344" s="25"/>
      <x:c r="B344" s="18"/>
      <x:c r="C344" s="18"/>
      <x:c r="D344" s="18"/>
      <x:c r="E344" s="18"/>
      <x:c r="F344" s="19"/>
      <x:c r="G344" s="19"/>
      <x:c r="H344" s="19"/>
      <x:c r="I344" s="22"/>
    </x:row>
    <x:row r="345" ht="19.5" customHeight="1">
      <x:c r="A345" s="25"/>
      <x:c r="B345" s="18"/>
      <x:c r="C345" s="18"/>
      <x:c r="D345" s="18"/>
      <x:c r="E345" s="18"/>
      <x:c r="F345" s="19"/>
      <x:c r="G345" s="19"/>
      <x:c r="H345" s="19"/>
      <x:c r="I345" s="22"/>
    </x:row>
    <x:row r="346" ht="19.5" customHeight="1">
      <x:c r="A346" s="25"/>
      <x:c r="B346" s="18"/>
      <x:c r="C346" s="18"/>
      <x:c r="D346" s="18"/>
      <x:c r="E346" s="18"/>
      <x:c r="F346" s="19"/>
      <x:c r="G346" s="19"/>
      <x:c r="H346" s="19"/>
      <x:c r="I346" s="22"/>
    </x:row>
    <x:row r="347" ht="19.5" customHeight="1">
      <x:c r="A347" s="25"/>
      <x:c r="B347" s="18"/>
      <x:c r="C347" s="18"/>
      <x:c r="D347" s="18"/>
      <x:c r="E347" s="18"/>
      <x:c r="F347" s="19"/>
      <x:c r="G347" s="19"/>
      <x:c r="H347" s="19"/>
      <x:c r="I347" s="22"/>
    </x:row>
    <x:row r="348" ht="19.5" customHeight="1">
      <x:c r="A348" s="25"/>
      <x:c r="B348" s="18"/>
      <x:c r="C348" s="18"/>
      <x:c r="D348" s="18"/>
      <x:c r="E348" s="18"/>
      <x:c r="F348" s="19"/>
      <x:c r="G348" s="19"/>
      <x:c r="H348" s="19"/>
      <x:c r="I348" s="22"/>
    </x:row>
    <x:row r="349" ht="19.5" customHeight="1">
      <x:c r="A349" s="25"/>
      <x:c r="B349" s="18"/>
      <x:c r="C349" s="18"/>
      <x:c r="D349" s="18"/>
      <x:c r="E349" s="18"/>
      <x:c r="F349" s="19"/>
      <x:c r="G349" s="19"/>
      <x:c r="H349" s="19"/>
      <x:c r="I349" s="22"/>
    </x:row>
    <x:row r="350" ht="19.5" customHeight="1">
      <x:c r="A350" s="25"/>
      <x:c r="B350" s="18"/>
      <x:c r="C350" s="18"/>
      <x:c r="D350" s="18"/>
      <x:c r="E350" s="18"/>
      <x:c r="F350" s="19"/>
      <x:c r="G350" s="19"/>
      <x:c r="H350" s="19"/>
      <x:c r="I350" s="22"/>
    </x:row>
    <x:row r="351" ht="19.5" customHeight="1">
      <x:c r="A351" s="25"/>
      <x:c r="B351" s="18"/>
      <x:c r="C351" s="18"/>
      <x:c r="D351" s="18"/>
      <x:c r="E351" s="18"/>
      <x:c r="F351" s="19"/>
      <x:c r="G351" s="19"/>
      <x:c r="H351" s="19"/>
      <x:c r="I351" s="22"/>
    </x:row>
    <x:row r="352" ht="19.5" customHeight="1">
      <x:c r="A352" s="25"/>
      <x:c r="B352" s="18"/>
      <x:c r="C352" s="18"/>
      <x:c r="D352" s="18"/>
      <x:c r="E352" s="18"/>
      <x:c r="F352" s="19"/>
      <x:c r="G352" s="19"/>
      <x:c r="H352" s="19"/>
      <x:c r="I352" s="22"/>
    </x:row>
    <x:row r="353" ht="19.5" customHeight="1">
      <x:c r="A353" s="25"/>
      <x:c r="B353" s="18"/>
      <x:c r="C353" s="18"/>
      <x:c r="D353" s="18"/>
      <x:c r="E353" s="18"/>
      <x:c r="F353" s="19"/>
      <x:c r="G353" s="19"/>
      <x:c r="H353" s="19"/>
      <x:c r="I353" s="22"/>
    </x:row>
    <x:row r="354" ht="19.5" customHeight="1">
      <x:c r="A354" s="25"/>
      <x:c r="B354" s="18"/>
      <x:c r="C354" s="18"/>
      <x:c r="D354" s="18"/>
      <x:c r="E354" s="18"/>
      <x:c r="F354" s="19"/>
      <x:c r="G354" s="19"/>
      <x:c r="H354" s="19"/>
      <x:c r="I354" s="22"/>
    </x:row>
    <x:row r="355" ht="19.5" customHeight="1">
      <x:c r="A355" s="25"/>
      <x:c r="B355" s="18"/>
      <x:c r="C355" s="18"/>
      <x:c r="D355" s="18"/>
      <x:c r="E355" s="18"/>
      <x:c r="F355" s="19"/>
      <x:c r="G355" s="19"/>
      <x:c r="H355" s="19"/>
      <x:c r="I355" s="22"/>
    </x:row>
    <x:row r="356" ht="19.5" customHeight="1">
      <x:c r="A356" s="25"/>
      <x:c r="B356" s="18"/>
      <x:c r="C356" s="18"/>
      <x:c r="D356" s="18"/>
      <x:c r="E356" s="18"/>
      <x:c r="F356" s="19"/>
      <x:c r="G356" s="19"/>
      <x:c r="H356" s="19"/>
      <x:c r="I356" s="22"/>
    </x:row>
    <x:row r="357" ht="19.5" customHeight="1">
      <x:c r="A357" s="25"/>
      <x:c r="B357" s="18"/>
      <x:c r="C357" s="18"/>
      <x:c r="D357" s="18"/>
      <x:c r="E357" s="18"/>
      <x:c r="F357" s="19"/>
      <x:c r="G357" s="19"/>
      <x:c r="H357" s="19"/>
      <x:c r="I357" s="22"/>
    </x:row>
    <x:row r="358" ht="19.5" customHeight="1">
      <x:c r="A358" s="25"/>
      <x:c r="B358" s="18"/>
      <x:c r="C358" s="18"/>
      <x:c r="D358" s="18"/>
      <x:c r="E358" s="18"/>
      <x:c r="F358" s="19"/>
      <x:c r="G358" s="19"/>
      <x:c r="H358" s="19"/>
      <x:c r="I358" s="22"/>
    </x:row>
    <x:row r="359" ht="19.5" customHeight="1">
      <x:c r="A359" s="25"/>
      <x:c r="B359" s="18"/>
      <x:c r="C359" s="18"/>
      <x:c r="D359" s="18"/>
      <x:c r="E359" s="18"/>
      <x:c r="F359" s="19"/>
      <x:c r="G359" s="19"/>
      <x:c r="H359" s="19"/>
      <x:c r="I359" s="22"/>
    </x:row>
    <x:row r="360" ht="19.5" customHeight="1">
      <x:c r="A360" s="25"/>
      <x:c r="B360" s="18"/>
      <x:c r="C360" s="18"/>
      <x:c r="D360" s="18"/>
      <x:c r="E360" s="18"/>
      <x:c r="F360" s="19"/>
      <x:c r="G360" s="19"/>
      <x:c r="H360" s="19"/>
      <x:c r="I360" s="22"/>
    </x:row>
    <x:row r="361" ht="19.5" customHeight="1">
      <x:c r="A361" s="25"/>
      <x:c r="B361" s="18"/>
      <x:c r="C361" s="18"/>
      <x:c r="D361" s="18"/>
      <x:c r="E361" s="18"/>
      <x:c r="F361" s="19"/>
      <x:c r="G361" s="19"/>
      <x:c r="H361" s="19"/>
      <x:c r="I361" s="22"/>
    </x:row>
    <x:row r="362" ht="19.5" customHeight="1">
      <x:c r="A362" s="25"/>
      <x:c r="B362" s="18"/>
      <x:c r="C362" s="18"/>
      <x:c r="D362" s="18"/>
      <x:c r="E362" s="18"/>
      <x:c r="F362" s="19"/>
      <x:c r="G362" s="19"/>
      <x:c r="H362" s="19"/>
      <x:c r="I362" s="22"/>
    </x:row>
    <x:row r="363" ht="19.5" customHeight="1">
      <x:c r="A363" s="25"/>
      <x:c r="B363" s="18"/>
      <x:c r="C363" s="18"/>
      <x:c r="D363" s="18"/>
      <x:c r="E363" s="18"/>
      <x:c r="F363" s="19"/>
      <x:c r="G363" s="19"/>
      <x:c r="H363" s="19"/>
      <x:c r="I363" s="22"/>
    </x:row>
    <x:row r="364" ht="19.5" customHeight="1">
      <x:c r="A364" s="25"/>
      <x:c r="B364" s="18"/>
      <x:c r="C364" s="18"/>
      <x:c r="D364" s="18"/>
      <x:c r="E364" s="18"/>
      <x:c r="F364" s="19"/>
      <x:c r="G364" s="19"/>
      <x:c r="H364" s="19"/>
      <x:c r="I364" s="22"/>
    </x:row>
    <x:row r="365" ht="19.5" customHeight="1">
      <x:c r="A365" s="25"/>
      <x:c r="B365" s="18"/>
      <x:c r="C365" s="18"/>
      <x:c r="D365" s="18"/>
      <x:c r="E365" s="18"/>
      <x:c r="F365" s="19"/>
      <x:c r="G365" s="19"/>
      <x:c r="H365" s="19"/>
      <x:c r="I365" s="22"/>
    </x:row>
    <x:row r="366" ht="19.5" customHeight="1">
      <x:c r="A366" s="25"/>
      <x:c r="B366" s="18"/>
      <x:c r="C366" s="18"/>
      <x:c r="D366" s="18"/>
      <x:c r="E366" s="18"/>
      <x:c r="F366" s="19"/>
      <x:c r="G366" s="19"/>
      <x:c r="H366" s="19"/>
      <x:c r="I366" s="22"/>
    </x:row>
    <x:row r="367" ht="19.5" customHeight="1">
      <x:c r="A367" s="25"/>
      <x:c r="B367" s="18"/>
      <x:c r="C367" s="18"/>
      <x:c r="D367" s="18"/>
      <x:c r="E367" s="18"/>
      <x:c r="F367" s="19"/>
      <x:c r="G367" s="19"/>
      <x:c r="H367" s="19"/>
      <x:c r="I367" s="22"/>
    </x:row>
    <x:row r="368" ht="19.5" customHeight="1">
      <x:c r="A368" s="25"/>
      <x:c r="B368" s="18"/>
      <x:c r="C368" s="18"/>
      <x:c r="D368" s="18"/>
      <x:c r="E368" s="18"/>
      <x:c r="F368" s="19"/>
      <x:c r="G368" s="19"/>
      <x:c r="H368" s="19"/>
      <x:c r="I368" s="22"/>
    </x:row>
    <x:row r="369" ht="19.5" customHeight="1">
      <x:c r="A369" s="25"/>
      <x:c r="B369" s="18"/>
      <x:c r="C369" s="18"/>
      <x:c r="D369" s="18"/>
      <x:c r="E369" s="18"/>
      <x:c r="F369" s="19"/>
      <x:c r="G369" s="19"/>
      <x:c r="H369" s="19"/>
      <x:c r="I369" s="22"/>
    </x:row>
    <x:row r="370" ht="19.5" customHeight="1">
      <x:c r="A370" s="25"/>
      <x:c r="B370" s="18"/>
      <x:c r="C370" s="18"/>
      <x:c r="D370" s="18"/>
      <x:c r="E370" s="18"/>
      <x:c r="F370" s="19"/>
      <x:c r="G370" s="19"/>
      <x:c r="H370" s="19"/>
      <x:c r="I370" s="22"/>
    </x:row>
    <x:row r="371" ht="19.5" customHeight="1">
      <x:c r="A371" s="25"/>
      <x:c r="B371" s="18"/>
      <x:c r="C371" s="18"/>
      <x:c r="D371" s="18"/>
      <x:c r="E371" s="18"/>
      <x:c r="F371" s="19"/>
      <x:c r="G371" s="19"/>
      <x:c r="H371" s="19"/>
      <x:c r="I371" s="22"/>
    </x:row>
    <x:row r="372" ht="19.5" customHeight="1">
      <x:c r="A372" s="25"/>
      <x:c r="B372" s="18"/>
      <x:c r="C372" s="18"/>
      <x:c r="D372" s="18"/>
      <x:c r="E372" s="18"/>
      <x:c r="F372" s="19"/>
      <x:c r="G372" s="19"/>
      <x:c r="H372" s="19"/>
      <x:c r="I372" s="22"/>
    </x:row>
    <x:row r="373" ht="19.5" customHeight="1">
      <x:c r="A373" s="25"/>
      <x:c r="B373" s="18"/>
      <x:c r="C373" s="18"/>
      <x:c r="D373" s="18"/>
      <x:c r="E373" s="18"/>
      <x:c r="F373" s="19"/>
      <x:c r="G373" s="19"/>
      <x:c r="H373" s="19"/>
      <x:c r="I373" s="22"/>
    </x:row>
    <x:row r="374" ht="19.5" customHeight="1">
      <x:c r="A374" s="25"/>
      <x:c r="B374" s="18"/>
      <x:c r="C374" s="18"/>
      <x:c r="D374" s="18"/>
      <x:c r="E374" s="18"/>
      <x:c r="F374" s="19"/>
      <x:c r="G374" s="19"/>
      <x:c r="H374" s="19"/>
      <x:c r="I374" s="22"/>
    </x:row>
    <x:row r="375" ht="19.5" customHeight="1">
      <x:c r="A375" s="25"/>
      <x:c r="B375" s="18"/>
      <x:c r="C375" s="18"/>
      <x:c r="D375" s="18"/>
      <x:c r="E375" s="18"/>
      <x:c r="F375" s="19"/>
      <x:c r="G375" s="19"/>
      <x:c r="H375" s="19"/>
      <x:c r="I375" s="22"/>
    </x:row>
    <x:row r="376" ht="19.5" customHeight="1">
      <x:c r="A376" s="25"/>
      <x:c r="B376" s="18"/>
      <x:c r="C376" s="18"/>
      <x:c r="D376" s="18"/>
      <x:c r="E376" s="18"/>
      <x:c r="F376" s="19"/>
      <x:c r="G376" s="19"/>
      <x:c r="H376" s="19"/>
      <x:c r="I376" s="22"/>
    </x:row>
    <x:row r="377" ht="19.5" customHeight="1">
      <x:c r="A377" s="25"/>
      <x:c r="B377" s="18"/>
      <x:c r="C377" s="18"/>
      <x:c r="D377" s="18"/>
      <x:c r="E377" s="18"/>
      <x:c r="F377" s="19"/>
      <x:c r="G377" s="19"/>
      <x:c r="H377" s="19"/>
      <x:c r="I377" s="22"/>
    </x:row>
    <x:row r="378" ht="19.5" customHeight="1">
      <x:c r="A378" s="25"/>
      <x:c r="B378" s="18"/>
      <x:c r="C378" s="18"/>
      <x:c r="D378" s="18"/>
      <x:c r="E378" s="18"/>
      <x:c r="F378" s="19"/>
      <x:c r="G378" s="19"/>
      <x:c r="H378" s="19"/>
      <x:c r="I378" s="22"/>
    </x:row>
    <x:row r="379" ht="19.5" customHeight="1">
      <x:c r="A379" s="25"/>
      <x:c r="B379" s="18"/>
      <x:c r="C379" s="18"/>
      <x:c r="D379" s="18"/>
      <x:c r="E379" s="18"/>
      <x:c r="F379" s="19"/>
      <x:c r="G379" s="19"/>
      <x:c r="H379" s="19"/>
      <x:c r="I379" s="22"/>
    </x:row>
    <x:row r="380" ht="19.5" customHeight="1">
      <x:c r="A380" s="25"/>
      <x:c r="B380" s="18"/>
      <x:c r="C380" s="18"/>
      <x:c r="D380" s="18"/>
      <x:c r="E380" s="18"/>
      <x:c r="F380" s="19"/>
      <x:c r="G380" s="19"/>
      <x:c r="H380" s="19"/>
      <x:c r="I380" s="22"/>
    </x:row>
    <x:row r="381" ht="19.5" customHeight="1">
      <x:c r="A381" s="25"/>
      <x:c r="B381" s="18"/>
      <x:c r="C381" s="18"/>
      <x:c r="D381" s="18"/>
      <x:c r="E381" s="18"/>
      <x:c r="F381" s="19"/>
      <x:c r="G381" s="19"/>
      <x:c r="H381" s="19"/>
      <x:c r="I381" s="22"/>
    </x:row>
    <x:row r="382" ht="19.5" customHeight="1">
      <x:c r="A382" s="25"/>
      <x:c r="B382" s="18"/>
      <x:c r="C382" s="18"/>
      <x:c r="D382" s="18"/>
      <x:c r="E382" s="18"/>
      <x:c r="F382" s="19"/>
      <x:c r="G382" s="19"/>
      <x:c r="H382" s="19"/>
      <x:c r="I382" s="22"/>
    </x:row>
    <x:row r="383" ht="19.5" customHeight="1">
      <x:c r="A383" s="25"/>
      <x:c r="B383" s="18"/>
      <x:c r="C383" s="18"/>
      <x:c r="D383" s="18"/>
      <x:c r="E383" s="18"/>
      <x:c r="F383" s="19"/>
      <x:c r="G383" s="19"/>
      <x:c r="H383" s="19"/>
      <x:c r="I383" s="22"/>
    </x:row>
    <x:row r="384" ht="19.5" customHeight="1">
      <x:c r="A384" s="25"/>
      <x:c r="B384" s="18"/>
      <x:c r="C384" s="18"/>
      <x:c r="D384" s="18"/>
      <x:c r="E384" s="18"/>
      <x:c r="F384" s="19"/>
      <x:c r="G384" s="19"/>
      <x:c r="H384" s="19"/>
      <x:c r="I384" s="22"/>
    </x:row>
    <x:row r="385" ht="19.5" customHeight="1">
      <x:c r="A385" s="25"/>
      <x:c r="B385" s="18"/>
      <x:c r="C385" s="18"/>
      <x:c r="D385" s="18"/>
      <x:c r="E385" s="18"/>
      <x:c r="F385" s="19"/>
      <x:c r="G385" s="19"/>
      <x:c r="H385" s="19"/>
      <x:c r="I385" s="22"/>
    </x:row>
    <x:row r="386" ht="19.5" customHeight="1">
      <x:c r="A386" s="25"/>
      <x:c r="B386" s="18"/>
      <x:c r="C386" s="18"/>
      <x:c r="D386" s="18"/>
      <x:c r="E386" s="18"/>
      <x:c r="F386" s="19"/>
      <x:c r="G386" s="19"/>
      <x:c r="H386" s="19"/>
      <x:c r="I386" s="22"/>
    </x:row>
    <x:row r="387" ht="19.5" customHeight="1">
      <x:c r="A387" s="25"/>
      <x:c r="B387" s="18"/>
      <x:c r="C387" s="18"/>
      <x:c r="D387" s="18"/>
      <x:c r="E387" s="18"/>
      <x:c r="F387" s="19"/>
      <x:c r="G387" s="19"/>
      <x:c r="H387" s="19"/>
      <x:c r="I387" s="22"/>
    </x:row>
    <x:row r="388" ht="19.5" customHeight="1">
      <x:c r="A388" s="25"/>
      <x:c r="B388" s="18"/>
      <x:c r="C388" s="18"/>
      <x:c r="D388" s="18"/>
      <x:c r="E388" s="18"/>
      <x:c r="F388" s="19"/>
      <x:c r="G388" s="19"/>
      <x:c r="H388" s="19"/>
      <x:c r="I388" s="22"/>
    </x:row>
    <x:row r="389" ht="19.5" customHeight="1">
      <x:c r="A389" s="25"/>
      <x:c r="B389" s="18"/>
      <x:c r="C389" s="18"/>
      <x:c r="D389" s="18"/>
      <x:c r="E389" s="18"/>
      <x:c r="F389" s="19"/>
      <x:c r="G389" s="19"/>
      <x:c r="H389" s="19"/>
      <x:c r="I389" s="22"/>
    </x:row>
    <x:row r="390" ht="19.5" customHeight="1">
      <x:c r="A390" s="25"/>
      <x:c r="B390" s="18"/>
      <x:c r="C390" s="18"/>
      <x:c r="D390" s="18"/>
      <x:c r="E390" s="18"/>
      <x:c r="F390" s="19"/>
      <x:c r="G390" s="19"/>
      <x:c r="H390" s="19"/>
      <x:c r="I390" s="22"/>
    </x:row>
    <x:row r="391" ht="19.5" customHeight="1">
      <x:c r="A391" s="25"/>
      <x:c r="B391" s="18"/>
      <x:c r="C391" s="18"/>
      <x:c r="D391" s="18"/>
      <x:c r="E391" s="18"/>
      <x:c r="F391" s="19"/>
      <x:c r="G391" s="19"/>
      <x:c r="H391" s="19"/>
      <x:c r="I391" s="22"/>
    </x:row>
    <x:row r="392" ht="19.5" customHeight="1">
      <x:c r="A392" s="25"/>
      <x:c r="B392" s="18"/>
      <x:c r="C392" s="18"/>
      <x:c r="D392" s="18"/>
      <x:c r="E392" s="18"/>
      <x:c r="F392" s="19"/>
      <x:c r="G392" s="19"/>
      <x:c r="H392" s="19"/>
      <x:c r="I392" s="22"/>
    </x:row>
    <x:row r="393" ht="19.5" customHeight="1">
      <x:c r="A393" s="25"/>
      <x:c r="B393" s="18"/>
      <x:c r="C393" s="18"/>
      <x:c r="D393" s="18"/>
      <x:c r="E393" s="18"/>
      <x:c r="F393" s="19"/>
      <x:c r="G393" s="19"/>
      <x:c r="H393" s="19"/>
      <x:c r="I393" s="22"/>
    </x:row>
    <x:row r="394" ht="19.5" customHeight="1">
      <x:c r="A394" s="25"/>
      <x:c r="B394" s="18"/>
      <x:c r="C394" s="18"/>
      <x:c r="D394" s="18"/>
      <x:c r="E394" s="18"/>
      <x:c r="F394" s="19"/>
      <x:c r="G394" s="19"/>
      <x:c r="H394" s="19"/>
      <x:c r="I394" s="22"/>
    </x:row>
    <x:row r="395" ht="19.5" customHeight="1">
      <x:c r="A395" s="25"/>
      <x:c r="B395" s="18"/>
      <x:c r="C395" s="18"/>
      <x:c r="D395" s="18"/>
      <x:c r="E395" s="18"/>
      <x:c r="F395" s="19"/>
      <x:c r="G395" s="19"/>
      <x:c r="H395" s="19"/>
      <x:c r="I395" s="22"/>
    </x:row>
    <x:row r="396" ht="19.5" customHeight="1">
      <x:c r="A396" s="25"/>
      <x:c r="B396" s="18"/>
      <x:c r="C396" s="18"/>
      <x:c r="D396" s="18"/>
      <x:c r="E396" s="18"/>
      <x:c r="F396" s="19"/>
      <x:c r="G396" s="19"/>
      <x:c r="H396" s="19"/>
      <x:c r="I396" s="22"/>
    </x:row>
    <x:row r="397" ht="19.5" customHeight="1">
      <x:c r="A397" s="25"/>
      <x:c r="B397" s="18"/>
      <x:c r="C397" s="18"/>
      <x:c r="D397" s="18"/>
      <x:c r="E397" s="18"/>
      <x:c r="F397" s="19"/>
      <x:c r="G397" s="19"/>
      <x:c r="H397" s="19"/>
      <x:c r="I397" s="22"/>
    </x:row>
    <x:row r="398" ht="19.5" customHeight="1">
      <x:c r="A398" s="25"/>
      <x:c r="B398" s="18"/>
      <x:c r="C398" s="18"/>
      <x:c r="D398" s="18"/>
      <x:c r="E398" s="18"/>
      <x:c r="F398" s="19"/>
      <x:c r="G398" s="19"/>
      <x:c r="H398" s="19"/>
      <x:c r="I398" s="22"/>
    </x:row>
    <x:row r="399" ht="19.5" customHeight="1">
      <x:c r="A399" s="25"/>
      <x:c r="B399" s="18"/>
      <x:c r="C399" s="18"/>
      <x:c r="D399" s="18"/>
      <x:c r="E399" s="18"/>
      <x:c r="F399" s="19"/>
      <x:c r="G399" s="19"/>
      <x:c r="H399" s="19"/>
      <x:c r="I399" s="22"/>
    </x:row>
    <x:row r="400" ht="19.5" customHeight="1">
      <x:c r="A400" s="25"/>
      <x:c r="B400" s="18"/>
      <x:c r="C400" s="18"/>
      <x:c r="D400" s="18"/>
      <x:c r="E400" s="18"/>
      <x:c r="F400" s="19"/>
      <x:c r="G400" s="19"/>
      <x:c r="H400" s="19"/>
      <x:c r="I400" s="22"/>
    </x:row>
    <x:row r="401" ht="19.5" customHeight="1">
      <x:c r="A401" s="25"/>
      <x:c r="B401" s="18"/>
      <x:c r="C401" s="18"/>
      <x:c r="D401" s="18"/>
      <x:c r="E401" s="18"/>
      <x:c r="F401" s="19"/>
      <x:c r="G401" s="19"/>
      <x:c r="H401" s="19"/>
      <x:c r="I401" s="22"/>
    </x:row>
    <x:row r="402" ht="19.5" customHeight="1">
      <x:c r="A402" s="25"/>
      <x:c r="B402" s="18"/>
      <x:c r="C402" s="18"/>
      <x:c r="D402" s="18"/>
      <x:c r="E402" s="18"/>
      <x:c r="F402" s="19"/>
      <x:c r="G402" s="19"/>
      <x:c r="H402" s="19"/>
      <x:c r="I402" s="22"/>
    </x:row>
    <x:row r="403" ht="19.5" customHeight="1">
      <x:c r="A403" s="25"/>
      <x:c r="B403" s="18"/>
      <x:c r="C403" s="18"/>
      <x:c r="D403" s="18"/>
      <x:c r="E403" s="18"/>
      <x:c r="F403" s="19"/>
      <x:c r="G403" s="19"/>
      <x:c r="H403" s="19"/>
      <x:c r="I403" s="22"/>
    </x:row>
    <x:row r="404" ht="19.5" customHeight="1">
      <x:c r="A404" s="25"/>
      <x:c r="B404" s="18"/>
      <x:c r="C404" s="18"/>
      <x:c r="D404" s="18"/>
      <x:c r="E404" s="18"/>
      <x:c r="F404" s="19"/>
      <x:c r="G404" s="19"/>
      <x:c r="H404" s="19"/>
      <x:c r="I404" s="22"/>
    </x:row>
    <x:row r="405" ht="19.5" customHeight="1">
      <x:c r="A405" s="25"/>
      <x:c r="B405" s="18"/>
      <x:c r="C405" s="18"/>
      <x:c r="D405" s="18"/>
      <x:c r="E405" s="18"/>
      <x:c r="F405" s="19"/>
      <x:c r="G405" s="19"/>
      <x:c r="H405" s="19"/>
      <x:c r="I405" s="22"/>
    </x:row>
    <x:row r="406" ht="19.5" customHeight="1">
      <x:c r="A406" s="25"/>
      <x:c r="B406" s="18"/>
      <x:c r="C406" s="18"/>
      <x:c r="D406" s="18"/>
      <x:c r="E406" s="18"/>
      <x:c r="F406" s="19"/>
      <x:c r="G406" s="19"/>
      <x:c r="H406" s="19"/>
      <x:c r="I406" s="22"/>
    </x:row>
  </x:sheetData>
  <x:mergeCells>
    <x:mergeCell ref="A1:I1"/>
    <x:mergeCell ref="A2:I2"/>
  </x:mergeCells>
  <x:dataValidations count="2">
    <x:dataValidation type="list" sqref="B5:B406">
      <x:formula1>"Passive Buy,Passive Sell,Active Buy,Active Sell,FX Buy,FX Sell,Dividend,Interest,Fee"</x:formula1>
    </x:dataValidation>
    <x:dataValidation type="list" sqref="E5:E406">
      <x:formula1>"CNY,USD,HKD"</x:formula1>
    </x:dataValidation>
  </x:dataValidations>
  <x:pageMargins left="0.7" right="0.7" top="0.75" bottom="0.75" header="0.3" footer="0.3"/>
</x:worksheet>
</file>